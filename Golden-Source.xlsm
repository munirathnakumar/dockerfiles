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workbookPr defaultThemeVersion="166925"/>
  <mc:AlternateContent xmlns:mc="http://schemas.openxmlformats.org/markup-compatibility/2006">
    <mc:Choice Requires="x15">
      <x15ac:absPath xmlns:x15ac="http://schemas.microsoft.com/office/spreadsheetml/2010/11/ac" url="C:\Users\Munirathnakumar\Desktop\"/>
    </mc:Choice>
  </mc:AlternateContent>
  <xr:revisionPtr revIDLastSave="0" documentId="13_ncr:1_{9F6EF37F-5197-430A-8ED4-60765FD89E6B}" xr6:coauthVersionLast="47" xr6:coauthVersionMax="47" xr10:uidLastSave="{00000000-0000-0000-0000-000000000000}"/>
  <bookViews>
    <workbookView xWindow="-110" yWindow="-110" windowWidth="19420" windowHeight="10300" xr2:uid="{099F6596-C767-4EC8-BA00-2E2DC0BE7586}"/>
  </bookViews>
  <sheets>
    <sheet name="Index" sheetId="29" r:id="rId1"/>
    <sheet name="WebServer -Generic" sheetId="2" r:id="rId2"/>
    <sheet name="IBM-Http Server" sheetId="16" r:id="rId3"/>
    <sheet name="Apache Http Server" sheetId="15" r:id="rId4"/>
    <sheet name="Load-Balancer-Generic" sheetId="3" r:id="rId5"/>
    <sheet name="F5" sheetId="17" r:id="rId6"/>
    <sheet name="Application Server - Generic" sheetId="4" r:id="rId7"/>
    <sheet name="Jboss" sheetId="13" r:id="rId8"/>
    <sheet name="Tomcat" sheetId="12" r:id="rId9"/>
    <sheet name="WebSphere" sheetId="14" r:id="rId10"/>
    <sheet name="Database - Generic" sheetId="5" r:id="rId11"/>
    <sheet name="Postgres" sheetId="19" r:id="rId12"/>
    <sheet name="DB2" sheetId="20" r:id="rId13"/>
    <sheet name="Oracle" sheetId="18" r:id="rId14"/>
    <sheet name="Cassandra" sheetId="22" r:id="rId15"/>
    <sheet name="Redis" sheetId="24" r:id="rId16"/>
    <sheet name="Hazelcast" sheetId="23" r:id="rId17"/>
    <sheet name="Mango DB" sheetId="21" r:id="rId18"/>
    <sheet name="Messaging Queue - Generic" sheetId="6" r:id="rId19"/>
    <sheet name="IBM MQ" sheetId="26" r:id="rId20"/>
    <sheet name="Solace" sheetId="27" r:id="rId21"/>
    <sheet name="Kafka" sheetId="25" r:id="rId22"/>
    <sheet name="ElasticSearch" sheetId="7" r:id="rId23"/>
    <sheet name="Kibana" sheetId="8" r:id="rId24"/>
    <sheet name="Logstash" sheetId="9" r:id="rId25"/>
    <sheet name="API Gateway Server Threats" sheetId="10" r:id="rId26"/>
    <sheet name="NGINX-Server" sheetId="28" r:id="rId27"/>
    <sheet name="Kong API Server" sheetId="30" r:id="rId28"/>
    <sheet name="FileSystem - Generic" sheetId="11" r:id="rId29"/>
    <sheet name="NAS" sheetId="31" r:id="rId30"/>
  </sheets>
  <definedNames>
    <definedName name="_xlnm._FilterDatabase" localSheetId="14" hidden="1">Cassandra!$A$1:$N$32</definedName>
    <definedName name="_xlnm._FilterDatabase" localSheetId="12" hidden="1">'DB2'!$A$1:$N$21</definedName>
    <definedName name="_xlnm._FilterDatabase" localSheetId="5" hidden="1">'F5'!$A$1:$N$1</definedName>
    <definedName name="_xlnm._FilterDatabase" localSheetId="16" hidden="1">Hazelcast!$A$1:$N$32</definedName>
    <definedName name="_xlnm._FilterDatabase" localSheetId="19" hidden="1">'IBM MQ'!$A$1:$N$31</definedName>
    <definedName name="_xlnm._FilterDatabase" localSheetId="21" hidden="1">Kafka!$A$1:$N$42</definedName>
    <definedName name="_xlnm._FilterDatabase" localSheetId="27" hidden="1">'Kong API Server'!$A$1:$N$34</definedName>
    <definedName name="_xlnm._FilterDatabase" localSheetId="17" hidden="1">'Mango DB'!$A$1:$N$32</definedName>
    <definedName name="_xlnm._FilterDatabase" localSheetId="29" hidden="1">NAS!$A$1:$N$41</definedName>
    <definedName name="_xlnm._FilterDatabase" localSheetId="26" hidden="1">'NGINX-Server'!$A$1:$N$33</definedName>
    <definedName name="_xlnm._FilterDatabase" localSheetId="13" hidden="1">Oracle!$A$1:$N$15</definedName>
    <definedName name="_xlnm._FilterDatabase" localSheetId="11" hidden="1">Postgres!$A$1:$N$21</definedName>
    <definedName name="_xlnm._FilterDatabase" localSheetId="15" hidden="1">Redis!$A$1:$N$34</definedName>
    <definedName name="_xlnm._FilterDatabase" localSheetId="20" hidden="1">Solace!$A$1:$N$31</definedName>
    <definedName name="SheetList">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29" l="1" a="1"/>
  <c r="B10" i="29" a="1"/>
  <c r="B14" i="29" a="1"/>
  <c r="B18" i="29" a="1"/>
  <c r="B22" i="29" a="1"/>
  <c r="B26" i="29" a="1"/>
  <c r="B30" i="29" a="1"/>
  <c r="B24" i="29" a="1"/>
  <c r="B9" i="29" a="1"/>
  <c r="B13" i="29" a="1"/>
  <c r="B21" i="29" a="1"/>
  <c r="B29" i="29" a="1"/>
  <c r="B3" i="29" a="1"/>
  <c r="B7" i="29" a="1"/>
  <c r="B11" i="29" a="1"/>
  <c r="B15" i="29" a="1"/>
  <c r="B19" i="29" a="1"/>
  <c r="B23" i="29" a="1"/>
  <c r="B27" i="29" a="1"/>
  <c r="B31" i="29" a="1"/>
  <c r="B4" i="29" a="1"/>
  <c r="B8" i="29" a="1"/>
  <c r="B12" i="29" a="1"/>
  <c r="B16" i="29" a="1"/>
  <c r="B20" i="29" a="1"/>
  <c r="B28" i="29" a="1"/>
  <c r="B5" i="29" a="1"/>
  <c r="B17" i="29" a="1"/>
  <c r="B25" i="29" a="1"/>
  <c r="B2" i="29" a="1"/>
  <c r="B25" i="29" l="1"/>
  <c r="D25" i="29" s="1"/>
  <c r="B17" i="29"/>
  <c r="D17" i="29" s="1"/>
  <c r="B5" i="29"/>
  <c r="D5" i="29" s="1"/>
  <c r="B28" i="29"/>
  <c r="D28" i="29" s="1"/>
  <c r="B20" i="29"/>
  <c r="D20" i="29" s="1"/>
  <c r="B16" i="29"/>
  <c r="D16" i="29" s="1"/>
  <c r="B12" i="29"/>
  <c r="D12" i="29" s="1"/>
  <c r="B8" i="29"/>
  <c r="D8" i="29" s="1"/>
  <c r="B4" i="29"/>
  <c r="D4" i="29" s="1"/>
  <c r="B31" i="29"/>
  <c r="D31" i="29" s="1"/>
  <c r="B27" i="29"/>
  <c r="D27" i="29" s="1"/>
  <c r="B23" i="29"/>
  <c r="D23" i="29" s="1"/>
  <c r="B19" i="29"/>
  <c r="D19" i="29" s="1"/>
  <c r="B15" i="29"/>
  <c r="D15" i="29" s="1"/>
  <c r="B11" i="29"/>
  <c r="D11" i="29" s="1"/>
  <c r="B7" i="29"/>
  <c r="D7" i="29" s="1"/>
  <c r="B3" i="29"/>
  <c r="D3" i="29" s="1"/>
  <c r="B29" i="29"/>
  <c r="D29" i="29" s="1"/>
  <c r="B21" i="29"/>
  <c r="D21" i="29" s="1"/>
  <c r="B13" i="29"/>
  <c r="D13" i="29" s="1"/>
  <c r="B9" i="29"/>
  <c r="D9" i="29" s="1"/>
  <c r="B24" i="29"/>
  <c r="D24" i="29" s="1"/>
  <c r="B30" i="29"/>
  <c r="D30" i="29" s="1"/>
  <c r="B26" i="29"/>
  <c r="D26" i="29" s="1"/>
  <c r="B22" i="29"/>
  <c r="D22" i="29" s="1"/>
  <c r="B18" i="29"/>
  <c r="D18" i="29" s="1"/>
  <c r="B14" i="29"/>
  <c r="D14" i="29" s="1"/>
  <c r="B10" i="29"/>
  <c r="D10" i="29" s="1"/>
  <c r="B6" i="29"/>
  <c r="D6" i="29" s="1"/>
  <c r="B2" i="29"/>
  <c r="D2" i="29"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<sst xmlns="http://schemas.openxmlformats.org/spreadsheetml/2006/main" count="5255" uniqueCount="1293">
  <si>
    <t>Threat Name</t>
  </si>
  <si>
    <t>Threat Vector</t>
  </si>
  <si>
    <t>Threat Description</t>
  </si>
  <si>
    <t>CAPEC ID</t>
  </si>
  <si>
    <t>CAPEC Reference</t>
  </si>
  <si>
    <t>CWE ID</t>
  </si>
  <si>
    <t>MITRE Tactic ID</t>
  </si>
  <si>
    <t>MITRE Technique ID</t>
  </si>
  <si>
    <t>SQL Injection</t>
  </si>
  <si>
    <t>Injection of malicious SQL code</t>
  </si>
  <si>
    <t>https://capec.mitre.org/data/definitions/66.html</t>
  </si>
  <si>
    <t>TA0001</t>
  </si>
  <si>
    <t>T1505.001</t>
  </si>
  <si>
    <t>Cross-Site Scripting</t>
  </si>
  <si>
    <t>Injection of malicious scripts</t>
  </si>
  <si>
    <t>https://capec.mitre.org/data/definitions/63.html</t>
  </si>
  <si>
    <t>TA0002</t>
  </si>
  <si>
    <t>T1059.007</t>
  </si>
  <si>
    <t>Directory Traversal</t>
  </si>
  <si>
    <t>Manipulation of file directory inputs</t>
  </si>
  <si>
    <t>https://capec.mitre.org/data/definitions/139.html</t>
  </si>
  <si>
    <t>T1552.001</t>
  </si>
  <si>
    <t>Denial of Service</t>
  </si>
  <si>
    <t>Traffic flooding</t>
  </si>
  <si>
    <t>https://capec.mitre.org/data/definitions/400.html</t>
  </si>
  <si>
    <t>TA0040</t>
  </si>
  <si>
    <t>T1499</t>
  </si>
  <si>
    <t>Server Misconfiguration</t>
  </si>
  <si>
    <t>Exploitation of insecure configurations</t>
  </si>
  <si>
    <t>https://capec.mitre.org/data/definitions/73.html</t>
  </si>
  <si>
    <t>T1592.001</t>
  </si>
  <si>
    <t>Remote File Inclusion</t>
  </si>
  <si>
    <t>Including files from remote servers</t>
  </si>
  <si>
    <t>https://capec.mitre.org/data/definitions/78.html</t>
  </si>
  <si>
    <t>T1100</t>
  </si>
  <si>
    <t>Cross-Site Request Forgery</t>
  </si>
  <si>
    <t>Tricking victims to perform actions</t>
  </si>
  <si>
    <t>https://capec.mitre.org/data/definitions/62.html</t>
  </si>
  <si>
    <t>TA0003</t>
  </si>
  <si>
    <t>T1056.004</t>
  </si>
  <si>
    <t>Session Hijacking</t>
  </si>
  <si>
    <t>Interception of session tokens</t>
  </si>
  <si>
    <t>https://capec.mitre.org/data/definitions/220.html</t>
  </si>
  <si>
    <t>T1136.002</t>
  </si>
  <si>
    <t>Malicious URL redirection</t>
  </si>
  <si>
    <t>https://capec.mitre.org/data/definitions/601.html</t>
  </si>
  <si>
    <t>T1190</t>
  </si>
  <si>
    <t>Sensitive Data Exposure</t>
  </si>
  <si>
    <t>Exposure of data via poor security</t>
  </si>
  <si>
    <t>https://capec.mitre.org/data/definitions/200.html</t>
  </si>
  <si>
    <t>T1210</t>
  </si>
  <si>
    <t>XML External Entity Attack</t>
  </si>
  <si>
    <t>XML input referencing external entity</t>
  </si>
  <si>
    <t>https://capec.mitre.org/data/definitions/611.html</t>
  </si>
  <si>
    <t>T1220</t>
  </si>
  <si>
    <t>Man-in-the-Middle Attack</t>
  </si>
  <si>
    <t>Interception of data during transmission</t>
  </si>
  <si>
    <t>https://capec.mitre.org/data/definitions/94.html</t>
  </si>
  <si>
    <t>TA0044</t>
  </si>
  <si>
    <t>T1557.001</t>
  </si>
  <si>
    <t>Insecure Deserialization</t>
  </si>
  <si>
    <t>Deserializing malicious objects</t>
  </si>
  <si>
    <t>https://capec.mitre.org/data/definitions/502.html</t>
  </si>
  <si>
    <t>T1504</t>
  </si>
  <si>
    <t>Broken Authentication</t>
  </si>
  <si>
    <t>Exploitation of authentication mechanisms</t>
  </si>
  <si>
    <t>https://capec.mitre.org/data/definitions/287.html</t>
  </si>
  <si>
    <t>T1110</t>
  </si>
  <si>
    <t>Security Misconfiguration</t>
  </si>
  <si>
    <t>Exploitation of default configurations</t>
  </si>
  <si>
    <t>https://capec.mitre.org/data/definitions/215.html</t>
  </si>
  <si>
    <t>https://capec.mitre.org/data/definitions/79.html</t>
  </si>
  <si>
    <t>https://capec.mitre.org/data/definitions/126.html</t>
  </si>
  <si>
    <t>https://capec.mitre.org/data/definitions/486.html</t>
  </si>
  <si>
    <t>https://capec.mitre.org/data/definitions/346.html</t>
  </si>
  <si>
    <t>https://capec.mitre.org/data/definitions/384.html</t>
  </si>
  <si>
    <t>https://capec.mitre.org/data/definitions/538.html</t>
  </si>
  <si>
    <t>https://capec.mitre.org/data/definitions/23.html</t>
  </si>
  <si>
    <t>An SQL injection attack consists of the insertion or injection of a malicious SQL query via the input data from the client to the application. Successful exploitation can read sensitive data from the database, modify database data, execute administration operations on the database, recover the content of a given file, and execute arbitrary commands on the server.</t>
  </si>
  <si>
    <t>Cross-Site Scripting (XSS) attacks occur when an attacker uses a web application to send malicious code, usually in the form of a browser side script, to a different end-user. The end user's browser executes the code because it came from a trusted server.</t>
  </si>
  <si>
    <t>An attacker can navigate the file directory structure of a web server and access restricted directories. This can be done by supplying strings containing characters like '..' to move up in the directory structure.</t>
  </si>
  <si>
    <t>This attack consumes the target resource's availability and denies access to legitimate users. Examples include overwhelming a target's CPU, network bandwidth, or disk space.</t>
  </si>
  <si>
    <t>An attacker identifies and exploits weaknesses in the server or network to gain unauthorized access, retrieve sensitive data, or execute malicious activities.</t>
  </si>
  <si>
    <t>An attacker is able to execute arbitrary commands on the target server by including malicious files from a remote location. The web application allows the inclusion of external files without proper validation.</t>
  </si>
  <si>
    <t>https://capec.mitre.org/data/definitions/193.html</t>
  </si>
  <si>
    <t>Attackers trick a user into executing unwanted actions on a web application where the user is authenticated, potentially causing the user to perform actions unintentionally.</t>
  </si>
  <si>
    <t>Attackers exploit web sessions to steal information or perform actions as an authenticated user. This can be done by obtaining session tokens or by predicting session token values.</t>
  </si>
  <si>
    <t>Unvalidated Redirects and Forwards</t>
  </si>
  <si>
    <t>Attackers exploit web applications that fail to properly validate and sanitize input and force users to perform unintended redirects or forwards, possibly to phishing or malicious sites.</t>
  </si>
  <si>
    <t>Web applications expose sensitive data due to insufficient encryption, weak algorithms, or other security flaws, allowing attackers to obtain unauthorized access to confidential information.</t>
  </si>
  <si>
    <t>Attackers exploit vulnerable XML processors by referencing an external entity, which can lead to data disclosure, denial of service, server-side request forgery, or other malicious effects.</t>
  </si>
  <si>
    <t>Attackers insert themselves between two parties and intercept, possibly alter, and relay messages between the two, deceiving them into thinking they are directly communicating with each other.</t>
  </si>
  <si>
    <t>Applications deserialize malicious objects supplied by an attacker. This can result in remote code execution, replay attacks, or privilege escalation attacks.</t>
  </si>
  <si>
    <t>Attackers exploit weaknesses in the authentication or session management functions. This can allow them to impersonate other users or bypass authentication mechanisms.</t>
  </si>
  <si>
    <t>Attackers exploit gaps in security configurations or misconfigurations to gain unauthorized access. This can occur when settings are too permissive or when sensitive data is exposed inadvertently.</t>
  </si>
  <si>
    <t>https://capec.mitre.org/data/definitions/212.html</t>
  </si>
  <si>
    <t>DDoS Attack</t>
  </si>
  <si>
    <t>Massive traffic targeting the load balancer</t>
  </si>
  <si>
    <t>An attacker overwhelms the load balancer with a flood of internet traffic, causing a denial-of-service for genuine requests.</t>
  </si>
  <si>
    <t>SSL Stripping</t>
  </si>
  <si>
    <t>Downgrading secure HTTPS connections</t>
  </si>
  <si>
    <t>Attackers force victims' browsers to communicate over HTTP instead of HTTPS, allowing them to intercept and read the traffic.</t>
  </si>
  <si>
    <t>https://capec.mitre.org/data/definitions/358.html</t>
  </si>
  <si>
    <t>TA0011</t>
  </si>
  <si>
    <t>T1185</t>
  </si>
  <si>
    <t>Session Stickiness Abuse</t>
  </si>
  <si>
    <t>Exploiting persistent sessions</t>
  </si>
  <si>
    <t>Attackers exploit the session stickiness feature in load balancers to tie a user to a specific compromised server.</t>
  </si>
  <si>
    <t>N/A</t>
  </si>
  <si>
    <t>IP Spoofing</t>
  </si>
  <si>
    <t>Sending traffic with a forged IP address</t>
  </si>
  <si>
    <t>By spoofing IP addresses, attackers can bypass IP-based access controls set on the load balancer.</t>
  </si>
  <si>
    <t>https://capec.mitre.org/data/definitions/281.html</t>
  </si>
  <si>
    <t>T1095</t>
  </si>
  <si>
    <t>Backend Server Fingerprinting</t>
  </si>
  <si>
    <t>Detecting information about backend servers</t>
  </si>
  <si>
    <t>Attackers send specific requests to identify the nature, type, and versions of servers behind the load balancer.</t>
  </si>
  <si>
    <t>https://capec.mitre.org/data/definitions/170.html</t>
  </si>
  <si>
    <t>TA0007</t>
  </si>
  <si>
    <t>T1583.001</t>
  </si>
  <si>
    <t>Cache Poisoning</t>
  </si>
  <si>
    <t>Manipulating cached content</t>
  </si>
  <si>
    <t>By sending specially crafted requests, attackers can manipulate the cached content, causing users to view incorrect or malicious content.</t>
  </si>
  <si>
    <t>https://capec.mitre.org/data/definitions/506.html</t>
  </si>
  <si>
    <t>T1590</t>
  </si>
  <si>
    <t>Exploiting weak configurations</t>
  </si>
  <si>
    <t>Attackers find and exploit security gaps or misconfigurations in the load balancer setup.</t>
  </si>
  <si>
    <t>Traffic Analysis</t>
  </si>
  <si>
    <t>Passively monitoring the traffic</t>
  </si>
  <si>
    <t>By analyzing the traffic to and from the load balancer, attackers can infer details about the nature of the communication and possibly gather sensitive information.</t>
  </si>
  <si>
    <t>TA0043</t>
  </si>
  <si>
    <t>T passive-monitoring</t>
  </si>
  <si>
    <t>SSL/TLS Renegotiation Exploit</t>
  </si>
  <si>
    <t>Exploiting the renegotiation process</t>
  </si>
  <si>
    <t>Attackers exploit vulnerabilities in the SSL/TLS renegotiation process to insert plaintext into the client's view of the data stream.</t>
  </si>
  <si>
    <t>https://capec.mitre.org/data/definitions/254.html</t>
  </si>
  <si>
    <t>T1190.002</t>
  </si>
  <si>
    <t>SSL Decryption</t>
  </si>
  <si>
    <t>Decrypting the SSL/TLS traffic</t>
  </si>
  <si>
    <t>Attackers can decrypt SSL/TLS traffic if they possess the appropriate keys or exploit vulnerabilities in the encryption process.</t>
  </si>
  <si>
    <t>T1024</t>
  </si>
  <si>
    <t>Load Balancer Overload</t>
  </si>
  <si>
    <t>Sending excessive requests</t>
  </si>
  <si>
    <t>Attackers send a high volume of legitimate-looking requests to overload the load balancer’s processing capability.</t>
  </si>
  <si>
    <t>T1499.003</t>
  </si>
  <si>
    <t>Load Balancer Bypass</t>
  </si>
  <si>
    <t>Directly targeting backend servers</t>
  </si>
  <si>
    <t>Attackers find ways to bypass the load balancer entirely and directly target the backend servers.</t>
  </si>
  <si>
    <t>T1308</t>
  </si>
  <si>
    <t>Command Injection</t>
  </si>
  <si>
    <t>Injecting malicious commands</t>
  </si>
  <si>
    <t>Exploiting vulnerabilities in the load balancer to execute malicious commands that can lead to control of the device.</t>
  </si>
  <si>
    <t>T1059.013</t>
  </si>
  <si>
    <t>Authentication Bypass</t>
  </si>
  <si>
    <t>Circumventing authentication mechanisms</t>
  </si>
  <si>
    <t>Finding and exploiting flaws in the authentication mechanisms to gain unauthorized access to the load balancer.</t>
  </si>
  <si>
    <t>https://capec.mitre.org/data/definitions/288.html</t>
  </si>
  <si>
    <t>Configuration Tampering</t>
  </si>
  <si>
    <t>Changing load balancer settings</t>
  </si>
  <si>
    <t>Attackers gain access to the load balancer's configuration, allowing them to modify settings, routes, or even disable the service.</t>
  </si>
  <si>
    <t>T1609</t>
  </si>
  <si>
    <t>Remote Code Execution</t>
  </si>
  <si>
    <t>Executing arbitrary code</t>
  </si>
  <si>
    <t>https://capec.mitre.org/data/definitions/19.html</t>
  </si>
  <si>
    <t>T1203</t>
  </si>
  <si>
    <t>Accessing restricted directories</t>
  </si>
  <si>
    <t>T1071.001</t>
  </si>
  <si>
    <t>Malicious SQL code execution</t>
  </si>
  <si>
    <t>T1190.001</t>
  </si>
  <si>
    <t>XML External Entity (XXE) Attack</t>
  </si>
  <si>
    <t>Exploiting XML parsers</t>
  </si>
  <si>
    <t>Deserialization of Untrusted Data</t>
  </si>
  <si>
    <t>Malicious data deserialization</t>
  </si>
  <si>
    <t>Server-Side Request Forgery (SSRF)</t>
  </si>
  <si>
    <t>Forcing the server to make malicious requests</t>
  </si>
  <si>
    <t>https://capec.mitre.org/data/definitions/918.html</t>
  </si>
  <si>
    <t>Insecure Direct Object References (IDOR)</t>
  </si>
  <si>
    <t>Accessing objects without authorization</t>
  </si>
  <si>
    <t>https://capec.mitre.org/data/definitions/472.html</t>
  </si>
  <si>
    <t>T1069.001</t>
  </si>
  <si>
    <t>Buffer Overflow</t>
  </si>
  <si>
    <t>Exploiting buffer memory</t>
  </si>
  <si>
    <t>https://capec.mitre.org/data/definitions/100.html</t>
  </si>
  <si>
    <t>Cross-Site Scripting (XSS)</t>
  </si>
  <si>
    <t>Injecting malicious scripts</t>
  </si>
  <si>
    <t>Cross-Site Request Forgery (CSRF)</t>
  </si>
  <si>
    <t>Tricking victims into executing actions</t>
  </si>
  <si>
    <t>T1156</t>
  </si>
  <si>
    <t>Application Logic Attacks</t>
  </si>
  <si>
    <t>Exploiting logical flaws</t>
  </si>
  <si>
    <t>https://capec.mitre.org/data/definitions/115.html</t>
  </si>
  <si>
    <t>Taking over user sessions</t>
  </si>
  <si>
    <t>https://capec.mitre.org/data/definitions/592.html</t>
  </si>
  <si>
    <t>T1142</t>
  </si>
  <si>
    <t>Intercepting and altering communications</t>
  </si>
  <si>
    <t>Improper Authorization</t>
  </si>
  <si>
    <t>Bypassing authorization mechanisms</t>
  </si>
  <si>
    <t>https://capec.mitre.org/data/definitions/285.html</t>
  </si>
  <si>
    <t>T1072</t>
  </si>
  <si>
    <t>Insufficient Logging &amp; Monitoring</t>
  </si>
  <si>
    <t>https://capec.mitre.org/data/definitions/298.html</t>
  </si>
  <si>
    <t>T1562.001</t>
  </si>
  <si>
    <t>Attackers exploit vulnerabilities to run malicious code remotely, giving unauthorized access or control over server resources.</t>
  </si>
  <si>
    <t>Attackers exploit inadequate input validation to access directories and files outside the intended directory structure.</t>
  </si>
  <si>
    <t>Attackers insert malicious SQL code into query strings, leading to unauthorized data viewing, corruption, or other malicious activities.</t>
  </si>
  <si>
    <t>Attackers exploit vulnerable XML processors to reference external entities, leading to unauthorized file viewing, denial of service, or SSRF.</t>
  </si>
  <si>
    <t>Attackers pass crafted serialized objects to an application. Deserializing these objects may lead to RCE or other malicious activities.</t>
  </si>
  <si>
    <t>Attackers manipulate an application to send malicious requests, potentially allowing interactions with internal resources.</t>
  </si>
  <si>
    <t>Attackers manipulate input, such as URLs or form data, to access unauthorized objects leading to unauthorized data access or alteration.</t>
  </si>
  <si>
    <t>Attackers send data to a buffer in quantities exceeding its capacity, leading to overflow. This can result in system crashes or RCE.</t>
  </si>
  <si>
    <t>Attackers inject malicious scripts into web pages. When executed, these scripts can steal information, modify web content, or act on behalf of authenticated users without consent.</t>
  </si>
  <si>
    <t>Attackers deceive users into unknowingly submitting requests to a web application, leading to unauthorized actions.</t>
  </si>
  <si>
    <t>Attackers identify and exploit flaws in application's logic or business processes, resulting in unauthorized actions or bypassing controls.</t>
  </si>
  <si>
    <t>Attackers capture or predict a user's session ID to impersonate them, potentially leading to unauthorized actions, data access, or account takeover.</t>
  </si>
  <si>
    <t>Attackers intercept, modify, or redirect communications between a user and an application server.</t>
  </si>
  <si>
    <t>Attackers exploit weak or misconfigured authorization mechanisms to perform unauthorized actions.</t>
  </si>
  <si>
    <t>Exploiting lack of proper monitoring</t>
  </si>
  <si>
    <t>Poor logging and monitoring allow attackers to carry out malicious activities undetected, delaying incident response and increasing potential damage.</t>
  </si>
  <si>
    <t>Parameter Tampering</t>
  </si>
  <si>
    <t>Manipulating request parameters</t>
  </si>
  <si>
    <t>Attackers modify parameters (e.g., URL, form inputs) to alter application data or behavior.</t>
  </si>
  <si>
    <t>https://capec.mitre.org/data/definitions/233.html</t>
  </si>
  <si>
    <t>Executing malicious system commands</t>
  </si>
  <si>
    <t>Attackers inject malicious commands into vulnerable applications to be executed on the server.</t>
  </si>
  <si>
    <t>https://capec.mitre.org/data/definitions/88.html</t>
  </si>
  <si>
    <t>Uncontrolled Resource Consumption</t>
  </si>
  <si>
    <t>Exhausting server resources</t>
  </si>
  <si>
    <t>Attackers consume excessive application resources (CPU, memory, disk space), leading to denial of service.</t>
  </si>
  <si>
    <t>Exploiting faulty authentication mechanisms</t>
  </si>
  <si>
    <t>Attackers exploit inadequate authentication, session management, or credential management to impersonate users.</t>
  </si>
  <si>
    <t>Use of Hard-Coded Credentials</t>
  </si>
  <si>
    <t>Exploiting embedded credentials</t>
  </si>
  <si>
    <t>Attackers locate and exploit hard-coded credentials in software to gain unauthorized access.</t>
  </si>
  <si>
    <t>https://capec.mitre.org/data/definitions/798.html</t>
  </si>
  <si>
    <t>TA0006</t>
  </si>
  <si>
    <t>T1081</t>
  </si>
  <si>
    <t>Denial of Service (DoS)</t>
  </si>
  <si>
    <t>Exhausting resources or disrupting services</t>
  </si>
  <si>
    <t>Attackers overwhelm the target system, application, or network with traffic, causing a denial of service for legitimate users.</t>
  </si>
  <si>
    <t>https://capec.mitre.org/data/definitions/595.html</t>
  </si>
  <si>
    <t>Severity</t>
  </si>
  <si>
    <t>Likelihood</t>
  </si>
  <si>
    <t>High</t>
  </si>
  <si>
    <t>Likely</t>
  </si>
  <si>
    <t>Unauthorized Data Access</t>
  </si>
  <si>
    <t>Bypassing Database Security</t>
  </si>
  <si>
    <t>https://capec.mitre.org/data/definitions/565.html</t>
  </si>
  <si>
    <t>T1078</t>
  </si>
  <si>
    <t>Database Tampering</t>
  </si>
  <si>
    <t>Altering Database Content</t>
  </si>
  <si>
    <t>Attackers alter database content, leading to integrity issues and potential data breaches.</t>
  </si>
  <si>
    <t>https://capec.mitre.org/data/definitions/148.html</t>
  </si>
  <si>
    <t>T1586</t>
  </si>
  <si>
    <t>Medium</t>
  </si>
  <si>
    <t>Possible</t>
  </si>
  <si>
    <t>Excessive Privileges</t>
  </si>
  <si>
    <t>Misconfigured Permissions</t>
  </si>
  <si>
    <t>https://capec.mitre.org/data/definitions/269.html</t>
  </si>
  <si>
    <t>Inadequate Audit Logging</t>
  </si>
  <si>
    <t>Failure to Capture Critical Events</t>
  </si>
  <si>
    <t>Low</t>
  </si>
  <si>
    <t>Unlikely</t>
  </si>
  <si>
    <t>Stored Procedure Attacks</t>
  </si>
  <si>
    <t>Malicious Procedure Execution</t>
  </si>
  <si>
    <t>Attackers exploit vulnerabilities in stored procedures to execute unintended commands or access data.</t>
  </si>
  <si>
    <t>https://capec.mitre.org/data/definitions/248.html</t>
  </si>
  <si>
    <t>Database Denial of Service</t>
  </si>
  <si>
    <t>Resource Exhaustion</t>
  </si>
  <si>
    <t>https://capec.mitre.org/data/definitions/1010.html</t>
  </si>
  <si>
    <t>Data Leakage</t>
  </si>
  <si>
    <t>Unintended Data Exposure</t>
  </si>
  <si>
    <t>https://capec.mitre.org/data/definitions/532.html</t>
  </si>
  <si>
    <t>T1605</t>
  </si>
  <si>
    <t>Database Backup Theft</t>
  </si>
  <si>
    <t>Stealing Backup Data</t>
  </si>
  <si>
    <t>https://capec.mitre.org/data/definitions/580.html</t>
  </si>
  <si>
    <t>T1490</t>
  </si>
  <si>
    <t>Unsafe Configuration</t>
  </si>
  <si>
    <t>Using Default or Weak Settings</t>
  </si>
  <si>
    <t>Attackers insert malicious SQL code into query strings, potentially allowing unauthorized viewing, corruption, or deletion of data.</t>
  </si>
  <si>
    <t>Attackers gain unauthorized access to sensitive database content, potentially leaking data.</t>
  </si>
  <si>
    <t>Users or applications have more permissions than necessary, allowing unauthorized actions.</t>
  </si>
  <si>
    <t>Inadequate logging mechanisms, making it difficult to detect or trace malicious activities.</t>
  </si>
  <si>
    <t>Attackers consume database resources, causing slowdowns or denial of service.</t>
  </si>
  <si>
    <t>Sensitive data is unintentionally exposed or leaked due to misconfigurations or software flaws.</t>
  </si>
  <si>
    <t>Attackers access and steal database backups, potentially causing data breaches.</t>
  </si>
  <si>
    <t>Databases with default or weak configurations expose them to various threats.</t>
  </si>
  <si>
    <t>Intercepting &amp; Altering Communications</t>
  </si>
  <si>
    <t>Attackers intercept, modify, or redirect communications between the user and the database.</t>
  </si>
  <si>
    <t>Replay Attacks</t>
  </si>
  <si>
    <t>Resending Data Packets</t>
  </si>
  <si>
    <t>Attackers capture valid data transmission and later resend them, potentially leading to unauthorized actions.</t>
  </si>
  <si>
    <t>https://capec.mitre.org/data/definitions/294.html</t>
  </si>
  <si>
    <t>T1114</t>
  </si>
  <si>
    <t>Pass-the-Hash Attack</t>
  </si>
  <si>
    <t>Using Hashed Credentials</t>
  </si>
  <si>
    <t>Attackers use stolen hashed credentials to authenticate and gain unauthorized access.</t>
  </si>
  <si>
    <t>https://capec.mitre.org/data/definitions/654.html</t>
  </si>
  <si>
    <t>Password Spraying</t>
  </si>
  <si>
    <t>Brute Force Using Common Passwords</t>
  </si>
  <si>
    <t>Attackers attempt to authenticate using a list of common passwords.</t>
  </si>
  <si>
    <t>https://capec.mitre.org/data/definitions/650.html</t>
  </si>
  <si>
    <t>Physical Attacks</t>
  </si>
  <si>
    <t>Physical Tampering</t>
  </si>
  <si>
    <t>Attackers gain physical access to servers, potentially causing data breaches, theft, or damage.</t>
  </si>
  <si>
    <t>https://capec.mitre.org/data/definitions/668.html</t>
  </si>
  <si>
    <t>TA0041</t>
  </si>
  <si>
    <t>T1200</t>
  </si>
  <si>
    <t>Privilege Escalation</t>
  </si>
  <si>
    <t>Gaining Elevated Privileges</t>
  </si>
  <si>
    <t>Attackers exploit vulnerabilities to gain higher privileges, potentially compromising the entire system.</t>
  </si>
  <si>
    <t>TA0004</t>
  </si>
  <si>
    <t>T1068</t>
  </si>
  <si>
    <t>Data Inference</t>
  </si>
  <si>
    <t>Inferring Sensitive Data</t>
  </si>
  <si>
    <t>Attackers use statistical methods on legitimate query results to infer sensitive data.</t>
  </si>
  <si>
    <t>https://capec.mitre.org/data/definitions/505.html</t>
  </si>
  <si>
    <t>T1212</t>
  </si>
  <si>
    <t>Schema Poisoning</t>
  </si>
  <si>
    <t>Manipulating Database Structure</t>
  </si>
  <si>
    <t>Attackers modify the database schema, leading to application malfunctions or unauthorized data access.</t>
  </si>
  <si>
    <t>https://capec.mitre.org/data/definitions/473.html</t>
  </si>
  <si>
    <t>Unauthorized Message Reading</t>
  </si>
  <si>
    <t>Message Interception</t>
  </si>
  <si>
    <t>Attackers gain unauthorized access to messages in the queue, potentially exposing sensitive information. This threat arises due to weak authentication, authorization, or improper configuration.</t>
  </si>
  <si>
    <t>Message Replay Attacks</t>
  </si>
  <si>
    <t>Re-sending captured messages</t>
  </si>
  <si>
    <t>Attackers capture and resend valid messages from the queue, potentially leading to unauthorized actions, duplicate processing, or data corruption.</t>
  </si>
  <si>
    <t>Message Tampering</t>
  </si>
  <si>
    <t>Modifying messages in the queue</t>
  </si>
  <si>
    <t>Messages in the queue are altered maliciously, leading to incorrect data being processed or acted upon by the receiving application component.</t>
  </si>
  <si>
    <t>Poison Messages</t>
  </si>
  <si>
    <t>Sending malicious messages</t>
  </si>
  <si>
    <t>Attackers send messages that the receiving application cannot handle, potentially causing it to crash or become unresponsive.</t>
  </si>
  <si>
    <t>Unauthorized Message Deletion</t>
  </si>
  <si>
    <t>Removing messages from the queue</t>
  </si>
  <si>
    <t>Attackers delete messages from the queue before they can be processed, leading to data loss or system disruption.</t>
  </si>
  <si>
    <t>https://capec.mitre.org/data/definitions/151.html</t>
  </si>
  <si>
    <t>T1485</t>
  </si>
  <si>
    <t>Flooding the queue</t>
  </si>
  <si>
    <t>Attackers flood the message queue with numerous messages, causing it to become overwhelmed and potentially crash or become slow to respond.</t>
  </si>
  <si>
    <t>Gaining elevated access to the queue</t>
  </si>
  <si>
    <t>Attackers exploit vulnerabilities or misconfigurations in the messaging queue system to gain higher privileges, allowing them to perform unauthorized actions.</t>
  </si>
  <si>
    <t>Inadequate Logging &amp; Monitoring</t>
  </si>
  <si>
    <t>Failure to detect malicious activities</t>
  </si>
  <si>
    <t>The messaging queue system lacks sufficient logging and monitoring, making it difficult to detect or trace malicious activities.</t>
  </si>
  <si>
    <t>Information Disclosure via Error Messages</t>
  </si>
  <si>
    <t>Revealing sensitive information</t>
  </si>
  <si>
    <t>Attackers induce errors in the messaging queue system to obtain error messages that may disclose sensitive information about the system's inner workings or configurations.</t>
  </si>
  <si>
    <t>https://capec.mitre.org/data/definitions/209.html</t>
  </si>
  <si>
    <t>T1071</t>
  </si>
  <si>
    <t>Use of Default Credentials</t>
  </si>
  <si>
    <t>Accessing using default authentication</t>
  </si>
  <si>
    <t>Attackers exploit systems where default credentials haven't been changed, gaining unauthorized access to the messaging queue.</t>
  </si>
  <si>
    <t>https://capec.mitre.org/data/definitions/522.html</t>
  </si>
  <si>
    <t>Intercepting &amp; altering communications</t>
  </si>
  <si>
    <t>Attackers position themselves between the sender and receiver in the messaging system, intercepting, modifying, or redirecting messages.</t>
  </si>
  <si>
    <t>Excessive Permissions</t>
  </si>
  <si>
    <t>Misconfigured Access Rights</t>
  </si>
  <si>
    <t>Users or applications are granted more permissions than necessary in the messaging system, allowing unauthorized actions or data exposures.</t>
  </si>
  <si>
    <t>Legacy Protocol Usage</t>
  </si>
  <si>
    <t>Exploiting outdated protocols</t>
  </si>
  <si>
    <t>Attackers exploit vulnerabilities associated with outdated or legacy protocols still supported by the messaging system.</t>
  </si>
  <si>
    <t>Bypassing Elasticsearch Security</t>
  </si>
  <si>
    <t>Attackers gain unauthorized access to sensitive Elasticsearch indices and documents. This threat often arises due to lack of authentication, weak passwords, or improperly configured access rights.</t>
  </si>
  <si>
    <t>Insecure Default Configuration</t>
  </si>
  <si>
    <t>Exploiting Default Settings</t>
  </si>
  <si>
    <t>Attackers exploit Elasticsearch clusters that are exposed to the internet with default configurations, leading to data breaches or unauthorized actions.</t>
  </si>
  <si>
    <t>Malicious Script Execution</t>
  </si>
  <si>
    <t>Attackers execute arbitrary code on Elasticsearch nodes by exploiting vulnerabilities or misconfigurations, potentially compromising the entire cluster.</t>
  </si>
  <si>
    <t>https://capec.mitre.org/data/definitions/95.html</t>
  </si>
  <si>
    <t>T1106</t>
  </si>
  <si>
    <t>Data Tampering</t>
  </si>
  <si>
    <t>Modifying Elasticsearch Indices</t>
  </si>
  <si>
    <t>Attackers alter documents or indices in Elasticsearch, leading to data integrity issues, misinformation, or application malfunctions.</t>
  </si>
  <si>
    <t>Attackers overload Elasticsearch with numerous queries, potentially causing it to crash or slow down, thereby denying service to legitimate users.</t>
  </si>
  <si>
    <t>Server Information Disclosure</t>
  </si>
  <si>
    <t>Exposing Metadata</t>
  </si>
  <si>
    <t>Attackers query Elasticsearch's metadata or system indices to gain information about the cluster's structure, nodes, and configurations, which can be used for further attacks.</t>
  </si>
  <si>
    <t>T1082</t>
  </si>
  <si>
    <t>Data Leakage via Snapshot APIs</t>
  </si>
  <si>
    <t>Stealing Data Backups</t>
  </si>
  <si>
    <t>Attackers exploit misconfigured Elasticsearch clusters to access or manipulate snapshot APIs, potentially leading to data theft or corruption of backups.</t>
  </si>
  <si>
    <t>Attackers exploit vulnerabilities or misconfigurations in Elasticsearch's role-based access controls to gain higher privileges.</t>
  </si>
  <si>
    <t>Insufficient Monitoring</t>
  </si>
  <si>
    <t>Elasticsearch lacks adequate logging or monitoring mechanisms, making it difficult to detect or trace malicious activities.</t>
  </si>
  <si>
    <t>Cluster Interconnection Exploits</t>
  </si>
  <si>
    <t>Malicious Node Addition</t>
  </si>
  <si>
    <t>Attackers add a malicious node to an Elasticsearch cluster, potentially gaining access to data or influencing cluster behavior.</t>
  </si>
  <si>
    <t>https://capec.mitre.org/data/definitions/688.html</t>
  </si>
  <si>
    <t>Unsafe Scripting</t>
  </si>
  <si>
    <t>Executing Malicious Queries</t>
  </si>
  <si>
    <t>Attackers utilize dynamic scripting capabilities to run malicious scripts, leading to potential data exposure or server exploits.</t>
  </si>
  <si>
    <t>Exposing Sensitive Information via APIs</t>
  </si>
  <si>
    <t>Querying System Indices</t>
  </si>
  <si>
    <t>Attackers access internal or system indices that may expose sensitive information about the Elasticsearch environment or its data.</t>
  </si>
  <si>
    <t>Attackers position themselves between Elasticsearch clients and servers, intercepting, modifying, or redirecting queries and responses.</t>
  </si>
  <si>
    <t>Unencrypted Data Transfers</t>
  </si>
  <si>
    <t>Eavesdropping on Traffic</t>
  </si>
  <si>
    <t>In the absence of encryption (e.g., using HTTPS), data transferred between Elasticsearch nodes or between client and server can be intercepted and read by attackers.</t>
  </si>
  <si>
    <t>https://capec.mitre.org/data/definitions/319.html</t>
  </si>
  <si>
    <t>T1032</t>
  </si>
  <si>
    <t>API Key Exploitation</t>
  </si>
  <si>
    <t>Using Exposed API Keys</t>
  </si>
  <si>
    <t>Attackers find exposed API keys related to Elasticsearch, allowing them unauthorized access or the ability to perform actions on behalf of legitimate users.</t>
  </si>
  <si>
    <t>Bypassing Kibana Security</t>
  </si>
  <si>
    <t>Attackers access sensitive data visualized in Kibana dashboards. This threat arises due to a lack of authentication, weak passwords, or misconfigured user roles.</t>
  </si>
  <si>
    <t>Attackers exploit Kibana instances that are accessible to the internet with default configurations, leading to unauthorized access or actions.</t>
  </si>
  <si>
    <t>Exposed Kibana Instance</t>
  </si>
  <si>
    <t>Accessible Public IP</t>
  </si>
  <si>
    <t>Kibana instances exposed to the internet without adequate protection can be discovered and accessed by attackers.</t>
  </si>
  <si>
    <t>https://capec.mitre.org/data/definitions/575.html</t>
  </si>
  <si>
    <t>Saved Objects Tampering</t>
  </si>
  <si>
    <t>Modifying Kibana Settings</t>
  </si>
  <si>
    <t>Attackers manipulate saved objects like visualizations, dashboards, and index patterns, disrupting users or displaying false data.</t>
  </si>
  <si>
    <t>Overloading Kibana</t>
  </si>
  <si>
    <t>Attackers flood Kibana with requests, making it unresponsive and denying access to legitimate users.</t>
  </si>
  <si>
    <t>Injecting Malicious Scripts</t>
  </si>
  <si>
    <t>Attackers exploit vulnerabilities in Kibana to inject malicious scripts that are executed in the user's browser when viewing Kibana dashboards.</t>
  </si>
  <si>
    <t>Information Disclosure</t>
  </si>
  <si>
    <t>Gleaning Metadata</t>
  </si>
  <si>
    <t>Attackers exploit verbose error messages or other unintended outputs from Kibana to gain insights into the system's configurations or data structures.</t>
  </si>
  <si>
    <t>Exploiting Role-Based Controls</t>
  </si>
  <si>
    <t>Attackers bypass or manipulate Kibana's role-based access controls to gain elevated privileges and access restricted data or functionalities.</t>
  </si>
  <si>
    <t>Stealing User Sessions</t>
  </si>
  <si>
    <t>Attackers steal user session cookies or tokens to impersonate legitimate users and gain unauthorized access to Kibana dashboards.</t>
  </si>
  <si>
    <t>https://capec.mitre.org/data/definitions/593.html</t>
  </si>
  <si>
    <t>Kibana lacks proper logging or monitoring, making it difficult to detect or trace malicious activities.</t>
  </si>
  <si>
    <t>Server Side Request Forgery (SSRF)</t>
  </si>
  <si>
    <t>Exploiting Kibana to Access Internal Resources</t>
  </si>
  <si>
    <t>Attackers exploit vulnerabilities in Kibana to make it issue requests to other internal resources, potentially bypassing firewalls or accessing restricted data.</t>
  </si>
  <si>
    <t>T1102</t>
  </si>
  <si>
    <t>Exposed API Keys</t>
  </si>
  <si>
    <t>Using Revealed API Keys</t>
  </si>
  <si>
    <t>Attackers gain access to exposed API keys related to Kibana, allowing them unauthorized actions or data access.</t>
  </si>
  <si>
    <t>Using Deprecated Features</t>
  </si>
  <si>
    <t>Exploiting Outdated Functions</t>
  </si>
  <si>
    <t>Attackers exploit vulnerabilities associated with outdated or deprecated features that are still enabled in Kibana.</t>
  </si>
  <si>
    <t>Intercepting &amp; Altering Traffic</t>
  </si>
  <si>
    <t>Attackers position themselves between Kibana clients and the server, intercepting, modifying, or redirecting data traffic.</t>
  </si>
  <si>
    <t>Eavesdropping on Data Traffic</t>
  </si>
  <si>
    <t>Without encryption (e.g., using HTTPS), data transferred between Kibana clients and the server can be intercepted and read.</t>
  </si>
  <si>
    <t>Bypassing Logstash Security</t>
  </si>
  <si>
    <t>Attackers intercept or access sensitive data being processed by Logstash. This can arise due to misconfigured input plugins or weak security controls.</t>
  </si>
  <si>
    <t>Insecure Configuration</t>
  </si>
  <si>
    <t>Misconfiguration Vulnerabilities</t>
  </si>
  <si>
    <t>Attackers exploit Logstash instances with insecure or default configurations, potentially gaining unauthorized access or causing disruptions.</t>
  </si>
  <si>
    <t>Altering Log Data</t>
  </si>
  <si>
    <t>Attackers manipulate or inject fake log data into Logstash, leading to misinformation, data integrity issues, or masking their malicious activities.</t>
  </si>
  <si>
    <t>Overloading Logstash</t>
  </si>
  <si>
    <t>Attackers flood Logstash with vast amounts of data or specially crafted entries, causing it to become unresponsive or crash.</t>
  </si>
  <si>
    <t>Code Execution</t>
  </si>
  <si>
    <t>Plugin Vulnerabilities</t>
  </si>
  <si>
    <t>Attackers exploit vulnerabilities in Logstash plugins (input, filter, output) to execute arbitrary commands on the host running Logstash.</t>
  </si>
  <si>
    <t>Configuration Exposure</t>
  </si>
  <si>
    <t>Reading Configurations</t>
  </si>
  <si>
    <t>Attackers gain access to Logstash configurations, revealing data pipelines, filters, and outputs, which might provide insights for further attacks.</t>
  </si>
  <si>
    <t>Unsafe Custom Scripts</t>
  </si>
  <si>
    <t>Executing Malicious Scripts</t>
  </si>
  <si>
    <t>Logstash's capability to execute custom scripts can be exploited by attackers to run malicious scripts, potentially compromising the system.</t>
  </si>
  <si>
    <t>By exploiting vulnerabilities or misconfigurations in Logstash or associated plugins, attackers might gain higher privileges on the host system.</t>
  </si>
  <si>
    <t>Without proper logging or monitoring mechanisms, malicious activities in Logstash may go undetected, making incident response and forensic analysis challenging.</t>
  </si>
  <si>
    <t>Exposure to the Internet</t>
  </si>
  <si>
    <t>Logstash instances mistakenly exposed to the internet can be discovered and accessed by attackers, leading to various attacks.</t>
  </si>
  <si>
    <t>Data Interception</t>
  </si>
  <si>
    <t>Eavesdropping</t>
  </si>
  <si>
    <t>Without proper encryption, data transferred to and from Logstash can be intercepted, revealing sensitive information to potential attackers.</t>
  </si>
  <si>
    <t>Sensitive Data in Logs</t>
  </si>
  <si>
    <t>Data Exposure</t>
  </si>
  <si>
    <t>Sensitive information, such as credentials or personal data, might inadvertently be processed and stored by Logstash, leading to potential data breaches.</t>
  </si>
  <si>
    <t>Plugin Manipulation</t>
  </si>
  <si>
    <t>Tampering Plugins</t>
  </si>
  <si>
    <t>Attackers might upload or manipulate plugins in Logstash to change its behavior or introduce backdoors.</t>
  </si>
  <si>
    <t>Relay Attacks</t>
  </si>
  <si>
    <t>Forwarding Malicious Data</t>
  </si>
  <si>
    <t>Attackers might exploit Logstash instances to relay or forward malicious data or requests to other internal systems, potentially bypassing security controls.</t>
  </si>
  <si>
    <t>https://capec.mitre.org/data/definitions/135.html</t>
  </si>
  <si>
    <t>Unauthorized Access</t>
  </si>
  <si>
    <t>Bypassing Authentication</t>
  </si>
  <si>
    <t>Attackers access APIs without valid credentials, exploiting weak or broken authentication mechanisms, leading to unauthorized access to system functionalities and data.</t>
  </si>
  <si>
    <t>https://capec.mitre.org/data/definitions/306.html</t>
  </si>
  <si>
    <t>API Key Exposure</t>
  </si>
  <si>
    <t>Leaked API Keys</t>
  </si>
  <si>
    <t>Sensitive API keys might get exposed in public repositories, logs, or other insecure places, allowing attackers unauthorized access.</t>
  </si>
  <si>
    <t>Flooding Requests</t>
  </si>
  <si>
    <t>Attackers send a vast number of requests to the API Gateway, overwhelming it and potentially making the API and its services unavailable to legitimate users.</t>
  </si>
  <si>
    <t>Injection Attacks</t>
  </si>
  <si>
    <t>Inserting Malicious Data</t>
  </si>
  <si>
    <t>Attackers send malicious data to the API Gateway (SQL, XML, and OS commands), exploiting vulnerabilities and possibly leading to unauthorized data access or service disruptions.</t>
  </si>
  <si>
    <t>Sensitive Data Leak</t>
  </si>
  <si>
    <t>APIs might inadvertently expose sensitive information in their responses, leading to data breaches and violation of user privacy.</t>
  </si>
  <si>
    <t>Man-in-the-Middle (MitM) Attacks</t>
  </si>
  <si>
    <t>Intercepting Data</t>
  </si>
  <si>
    <t>Attackers intercept and potentially alter communications between the client and the API Gateway, especially if data is transmitted without encryption.</t>
  </si>
  <si>
    <t>Broken Access Control</t>
  </si>
  <si>
    <t>Unauthorized Actions</t>
  </si>
  <si>
    <t>Attackers exploit flawed access control mechanisms in the API, leading to unauthorized actions, including data modification or deletion.</t>
  </si>
  <si>
    <t>https://capec.mitre.org/data/definitions/639.html</t>
  </si>
  <si>
    <t>Insecure Rate Limiting</t>
  </si>
  <si>
    <t>Excessive Requests</t>
  </si>
  <si>
    <t>API Gateway fails to properly limit request rates, allowing attackers to send large volumes of requests without being throttled or blocked.</t>
  </si>
  <si>
    <t>https://capec.mitre.org/data/definitions/125.html</t>
  </si>
  <si>
    <t>T1198</t>
  </si>
  <si>
    <t>Improper Input Validation</t>
  </si>
  <si>
    <t>Processing Malformed Data</t>
  </si>
  <si>
    <t>API Gateway processes invalid data without proper validation, leading to potential unexpected behaviors or vulnerabilities being triggered.</t>
  </si>
  <si>
    <t>https://capec.mitre.org/data/definitions/141.html</t>
  </si>
  <si>
    <t>Exposure of Internal Components</t>
  </si>
  <si>
    <t>Revealing System Details</t>
  </si>
  <si>
    <t>Verbose error messages or headers might disclose information about the underlying system or infrastructure, aiding attackers in crafting targeted attacks.</t>
  </si>
  <si>
    <t>Inadequate Audit and Logging</t>
  </si>
  <si>
    <t>Lack of proper logging makes it difficult to detect malicious activities, jeopardizing incident response and forensic analysis.</t>
  </si>
  <si>
    <t>Token Hijacking</t>
  </si>
  <si>
    <t>Stealing Session Tokens</t>
  </si>
  <si>
    <t>Attackers steal authentication tokens or cookies, allowing them to impersonate legitimate users.</t>
  </si>
  <si>
    <t>Forwarding Malicious Requests</t>
  </si>
  <si>
    <t>Attackers exploit the API Gateway to forward malicious requests to internal systems, potentially bypassing internal security controls.</t>
  </si>
  <si>
    <t>Inadequate Patching</t>
  </si>
  <si>
    <t>Exploiting Known Vulnerabilities</t>
  </si>
  <si>
    <t>Failure to keep the API Gateway updated exposes it to known vulnerabilities, making it susceptible to exploits and breaches.</t>
  </si>
  <si>
    <t>https://capec.mitre.org/data/definitions/548.html</t>
  </si>
  <si>
    <t>Bypassing Permissions</t>
  </si>
  <si>
    <t>Attackers gain access to files or directories without appropriate permissions due to weak access controls or misconfigurations.</t>
  </si>
  <si>
    <t>Modifying Files</t>
  </si>
  <si>
    <t>Malicious actors modify, delete, or alter files, causing data integrity issues and potential misinformation.</t>
  </si>
  <si>
    <t>Exhausting Storage</t>
  </si>
  <si>
    <t>Attackers flood the file system with vast amounts of data, causing disk space exhaustion and potential system unavailability.</t>
  </si>
  <si>
    <t>Ransomware Attack</t>
  </si>
  <si>
    <t>Encrypting Files</t>
  </si>
  <si>
    <t>Malicious software encrypts files, demanding a ransom for decryption, leading to potential data loss if not properly backed up.</t>
  </si>
  <si>
    <t>T1486</t>
  </si>
  <si>
    <t>Path Traversal</t>
  </si>
  <si>
    <t>Navigating Directories</t>
  </si>
  <si>
    <t>Attackers exploit insufficient input validation to navigate file system directories, potentially accessing sensitive files or directories.</t>
  </si>
  <si>
    <t>T1070</t>
  </si>
  <si>
    <t>Exposed Sensitive Data</t>
  </si>
  <si>
    <t>Reading Files</t>
  </si>
  <si>
    <t>Sensitive information might inadvertently be stored without proper encryption or permissions, leading to potential data breaches.</t>
  </si>
  <si>
    <t>Steganography</t>
  </si>
  <si>
    <t>Hiding Malicious Data</t>
  </si>
  <si>
    <t>Attackers embed malicious data within files to hide their activities or deliver payloads without detection.</t>
  </si>
  <si>
    <t>https://capec.mitre.org/data/definitions/240.html</t>
  </si>
  <si>
    <t>T1497</t>
  </si>
  <si>
    <t>Insecure File Permissions</t>
  </si>
  <si>
    <t>Elevated Privileges</t>
  </si>
  <si>
    <t>Misconfigured file permissions might allow attackers or malicious software to execute files with higher privileges.</t>
  </si>
  <si>
    <t>Inadequate Logging</t>
  </si>
  <si>
    <t>Missing Audit Trails</t>
  </si>
  <si>
    <t>Lack of proper logging mechanisms on file system activities could make malicious actions go undetected.</t>
  </si>
  <si>
    <t>Malware Infection</t>
  </si>
  <si>
    <t>Executing Malicious Files</t>
  </si>
  <si>
    <t>Malicious software or scripts are stored and executed from the file system, compromising system functionalities.</t>
  </si>
  <si>
    <t>File Metadata Leakage</t>
  </si>
  <si>
    <t>Exposing System Details</t>
  </si>
  <si>
    <t>File metadata might inadvertently reveal sensitive information about its creator, software used, or internal network details.</t>
  </si>
  <si>
    <t>SymLink Attack</t>
  </si>
  <si>
    <t>Linking Malicious Paths</t>
  </si>
  <si>
    <t>Attackers create symbolic links to sensitive files or directories, potentially leading to data exposure or overwrites.</t>
  </si>
  <si>
    <t>https://capec.mitre.org/data/definitions/59.html</t>
  </si>
  <si>
    <t>Race Condition</t>
  </si>
  <si>
    <t>Accessing Files Concurrently</t>
  </si>
  <si>
    <t>Attackers exploit the small time gap between when a file system checks a condition (like a security check) and when it takes action, potentially leading to unauthorized actions.</t>
  </si>
  <si>
    <t>https://capec.mitre.org/data/definitions/362.html</t>
  </si>
  <si>
    <t>Exposed Backup Files</t>
  </si>
  <si>
    <t>Accessing Backup Data</t>
  </si>
  <si>
    <t>Backup files, sometimes created automatically by applications, might be exposed, giving attackers a way to access older versions of sensitive files.</t>
  </si>
  <si>
    <t>https://capec.mitre.org/data/definitions/544.html</t>
  </si>
  <si>
    <t>Attack Domain</t>
  </si>
  <si>
    <t>Application</t>
  </si>
  <si>
    <t>https://capec.mitre.org/data/definitions/112.html</t>
  </si>
  <si>
    <t>https://capec.mitre.org/data/definitions/540.html</t>
  </si>
  <si>
    <t>T1537</t>
  </si>
  <si>
    <t>T1075</t>
  </si>
  <si>
    <t>Network</t>
  </si>
  <si>
    <t>T1059</t>
  </si>
  <si>
    <t>T1505</t>
  </si>
  <si>
    <t>T1087</t>
  </si>
  <si>
    <t>T1127</t>
  </si>
  <si>
    <t>https://capec.mitre.org/data/definitions/409.html</t>
  </si>
  <si>
    <t>Programming Threat Vectors</t>
  </si>
  <si>
    <t>Social Engineering Threat Vectors</t>
  </si>
  <si>
    <t>Unpatched vulnerabilities</t>
  </si>
  <si>
    <t>SQL injection</t>
  </si>
  <si>
    <t>Programming</t>
  </si>
  <si>
    <t>Misconfigured services</t>
  </si>
  <si>
    <t>Phishing</t>
  </si>
  <si>
    <t>Spoofing</t>
  </si>
  <si>
    <t>Distributed denial-of-service (DDoS)</t>
  </si>
  <si>
    <t>Drive-by-downloads</t>
  </si>
  <si>
    <t>Malvertising</t>
  </si>
  <si>
    <t>Social Engineering</t>
  </si>
  <si>
    <t>Baiting</t>
  </si>
  <si>
    <t>Malware/ransomware</t>
  </si>
  <si>
    <t>Man-in-the-middle Attack</t>
  </si>
  <si>
    <t>T1557</t>
  </si>
  <si>
    <t>Man-in-the-middle or session hijacking</t>
  </si>
  <si>
    <t>https://capec.mitre.org/data/definitions/98.html</t>
  </si>
  <si>
    <t>Disgruntled employees</t>
  </si>
  <si>
    <t>MITRE Tactic Description</t>
  </si>
  <si>
    <t>MITRE Technique Description</t>
  </si>
  <si>
    <t>Initial Access</t>
  </si>
  <si>
    <t>Valid Accounts</t>
  </si>
  <si>
    <t>Discovery</t>
  </si>
  <si>
    <t>Transfer Data to Cloud Account</t>
  </si>
  <si>
    <t>Exploit Public-Facing Application</t>
  </si>
  <si>
    <t>Pass the Hash</t>
  </si>
  <si>
    <t>Impact</t>
  </si>
  <si>
    <t>Endpoint Denial of Service</t>
  </si>
  <si>
    <t>Command and Scripting Interpreter</t>
  </si>
  <si>
    <t>Server Software Component Discovery</t>
  </si>
  <si>
    <t>Account Discovery</t>
  </si>
  <si>
    <t>Software Deployment Tools</t>
  </si>
  <si>
    <t>Collection</t>
  </si>
  <si>
    <t>Man-in-the-Middle</t>
  </si>
  <si>
    <t>JBoss Deserialization Vulnerability</t>
  </si>
  <si>
    <t>Attackers exploit insecure deserialization within JBoss, allowing them to remotely execute arbitrary code, bypass authentication, or induce application crashes.</t>
  </si>
  <si>
    <t>Unauthenticated JMX Access</t>
  </si>
  <si>
    <t>Default Credentials Exploitation</t>
  </si>
  <si>
    <t>Brute force/cracking</t>
  </si>
  <si>
    <t>JBoss Seam Framework Vulnerability</t>
  </si>
  <si>
    <t>Information Disclosure through Error Pages</t>
  </si>
  <si>
    <t>JBoss Web Console Unauthorized Access</t>
  </si>
  <si>
    <t>https://capec.mitre.org/data/definitions/22.html</t>
  </si>
  <si>
    <t>T1015</t>
  </si>
  <si>
    <t>Application Deployment Software</t>
  </si>
  <si>
    <t>Header Manipulation</t>
  </si>
  <si>
    <t>https://capec.mitre.org/data/definitions/113.html</t>
  </si>
  <si>
    <t>Macros</t>
  </si>
  <si>
    <t>Insecure Session Management</t>
  </si>
  <si>
    <t>T1568.011</t>
  </si>
  <si>
    <t>Dynamic Data Exchange</t>
  </si>
  <si>
    <t>Denial-of-Service (DoS) Attack</t>
  </si>
  <si>
    <t>The JMX console in JBoss can be accessed without authentication, allowing unauthorized deployment of applications, shutdowns, or service operation modifications.</t>
  </si>
  <si>
    <t>Attackers use default or easily guessable credentials to access the JBoss management interface.</t>
  </si>
  <si>
    <t>Attackers exploit flaws in the JBoss Seam framework to execute remote code or extract sensitive data.</t>
  </si>
  <si>
    <t>Detailed error pages in JBoss expose potential vulnerabilities, system configurations, or deployed applications.</t>
  </si>
  <si>
    <t>Weak access controls on the JBoss Web Console grant unauthorized users access to sensitive functionalities.</t>
  </si>
  <si>
    <t>Attackers can manipulate HTTP headers to bypass authentication, poison caches, or conduct cross-site scripting attacks.</t>
  </si>
  <si>
    <t>Attackers can exploit flawed session management to hijack user sessions or impersonate users.</t>
  </si>
  <si>
    <t>Attackers exploit improperly processed XML entities to read files, interact with systems, or launch denial-of-service attacks.</t>
  </si>
  <si>
    <t>Attackers manipulate the server into making unintentional requests, possibly leading to data exfiltration or interactions with internal services.</t>
  </si>
  <si>
    <t>Attackers overload the JBoss server with traffic or intensive requests, causing service disruptions or crashes.</t>
  </si>
  <si>
    <t>Attackers intercept or alter communications between JBoss and its users without their knowledge, potentially leading to data theft or malicious payload injections.</t>
  </si>
  <si>
    <t>Attackers exploit insufficient validation of input data to navigate and access directories or files outside of the intended directory.</t>
  </si>
  <si>
    <t>Viruses</t>
  </si>
  <si>
    <t>JNDI Injection</t>
  </si>
  <si>
    <t>Attackers use malicious input to inject Java Naming and Directory Interface references, leading to potential data breaches or remote code execution.</t>
  </si>
  <si>
    <t>T1087.001</t>
  </si>
  <si>
    <t>Account Discovery: Local Account</t>
  </si>
  <si>
    <t>Weak encryption or poor data protection measures in JBoss can lead to unintended exposure of sensitive data.</t>
  </si>
  <si>
    <t>Exploitation of Remote Services</t>
  </si>
  <si>
    <t>Trojans</t>
  </si>
  <si>
    <t>Attackers inject malicious scripts into web pages viewed by users. The scripts can then be used to steal information or perform actions on behalf of the user without their knowledge.</t>
  </si>
  <si>
    <t>Command and Scripting Interpreter: JavaScript/JScript</t>
  </si>
  <si>
    <t>Pop-ups</t>
  </si>
  <si>
    <t>Attackers trick users into executing unintended commands on a web application in which they're authenticated.</t>
  </si>
  <si>
    <t>Exploitation for Privilege Escalation</t>
  </si>
  <si>
    <t>Bogus email attachments or web links</t>
  </si>
  <si>
    <t>Operational</t>
  </si>
  <si>
    <t>Inadequate logging and monitoring in JBoss can delay or prevent the detection of malicious activities, making responses ineffective.</t>
  </si>
  <si>
    <t>https://capec.mitre.org/data/definitions/223.html</t>
  </si>
  <si>
    <t>T1592</t>
  </si>
  <si>
    <t>Passive Data Collection</t>
  </si>
  <si>
    <t>Improper Access Control</t>
  </si>
  <si>
    <t>Weak access controls can allow unauthorized users to perform actions outside of their privileges, leading to data breaches or service disruptions.</t>
  </si>
  <si>
    <t>Unsecured Interfaces &amp; APIs</t>
  </si>
  <si>
    <t>Exposed APIs or interfaces without adequate security can be exploited to retrieve data, execute unintended functions, or disrupt services.</t>
  </si>
  <si>
    <t>T1059.003</t>
  </si>
  <si>
    <t>Command and Scripting Interpreter: Windows Command Shell</t>
  </si>
  <si>
    <t>Tomcat Default Credentials Exploitation</t>
  </si>
  <si>
    <t>Attackers use default or weak credentials to access the Tomcat Manager Application or administrative interfaces.</t>
  </si>
  <si>
    <t>Directory Traversal in Tomcat</t>
  </si>
  <si>
    <t>Attackers manipulate user inputs or URLs to retrieve or tamper with files outside the intended directory.</t>
  </si>
  <si>
    <t>Tomcat Buffer Overflow Vulnerabilities</t>
  </si>
  <si>
    <t>Flaws in Tomcat's handling of inputs can allow attackers to cause a buffer overflow, leading to service disruptions or potential remote code execution.</t>
  </si>
  <si>
    <t>Tomcat Denial-of-Service (DoS) Attack</t>
  </si>
  <si>
    <t>Attackers send excessive requests or specially crafted inputs to exhaust resources or crash the Tomcat server.</t>
  </si>
  <si>
    <t>Tomcat Session Fixation</t>
  </si>
  <si>
    <t>Attackers exploit flaws in session management to predict or set session IDs, allowing them to hijack user sessions.</t>
  </si>
  <si>
    <t>Tomcat Cross-Site Scripting (XSS)</t>
  </si>
  <si>
    <t>Malicious scripts are injected into Tomcat web pages which are then executed in a user's browser. The scripts can be used to steal information or perform actions without the user's consent.</t>
  </si>
  <si>
    <t>Tomcat Cross-Site Request Forgery (CSRF)</t>
  </si>
  <si>
    <t>Attackers deceive users into performing actions on Tomcat applications where they're authenticated, potentially causing unintended server operations.</t>
  </si>
  <si>
    <t>Information Exposure via Tomcat Detailed Error Messages</t>
  </si>
  <si>
    <t>Detailed error messages provide attackers insights into the system, revealing potential vulnerabilities or configurations.</t>
  </si>
  <si>
    <t>XML External Entity (XXE) Attack in Tomcat</t>
  </si>
  <si>
    <t>Attackers exploit improperly processed XML entities within Tomcat applications to interact with backend systems, potentially leading to data leaks or remote interactions.</t>
  </si>
  <si>
    <t>JNDI Injection in Tomcat</t>
  </si>
  <si>
    <t>Attackers use malicious inputs to introduce Java Naming and Directory Interface references in Tomcat, potentially leading to data breaches or remote code execution.</t>
  </si>
  <si>
    <t>Improper Neutralization of Special Elements in Tomcat</t>
  </si>
  <si>
    <t>Attackers exploit special elements, such as those used in SQL queries or OS commands, to manipulate application behaviors or achieve unintended operations.</t>
  </si>
  <si>
    <t>https://capec.mitre.org/data/definitions/89.html</t>
  </si>
  <si>
    <t>T1087.002</t>
  </si>
  <si>
    <t>Account Discovery: Domain Account</t>
  </si>
  <si>
    <t>Unrestricted File Upload in Tomcat</t>
  </si>
  <si>
    <t>Attackers exploit file upload functionalities in Tomcat applications to upload malicious files, potentially leading to arbitrary code execution.</t>
  </si>
  <si>
    <t>https://capec.mitre.org/data/definitions/17.html</t>
  </si>
  <si>
    <t>T1105</t>
  </si>
  <si>
    <t>Ingress Tool Transfer</t>
  </si>
  <si>
    <t>Header Manipulation in Tomcat</t>
  </si>
  <si>
    <t>Attackers manipulate HTTP headers in Tomcat applications to bypass security mechanisms, perform unauthorized actions, or poison web caches.</t>
  </si>
  <si>
    <t>Server-Side Request Forgery (SSRF) in Tomcat</t>
  </si>
  <si>
    <t>Attackers induce Tomcat servers to make HTTP requests to an arbitrary domain of their choice, potentially leading to data breaches, Denial-of-Service, or other unintended behaviors.</t>
  </si>
  <si>
    <t>Insecure Deserialization in Tomcat</t>
  </si>
  <si>
    <t>Attackers exploit insecure deserialization processes in Tomcat to execute arbitrary code, potentially leading to remote command execution or privilege escalation.</t>
  </si>
  <si>
    <t>Rootkits</t>
  </si>
  <si>
    <t>Tomcat Misconfiguration</t>
  </si>
  <si>
    <t>Attackers exploit poorly configured Tomcat installations to gain unauthorized access, escalate privileges, or disrupt services.</t>
  </si>
  <si>
    <t>Man-in-the-Middle Attack against Tomcat</t>
  </si>
  <si>
    <t>Attackers intercept and possibly alter communication between two systems, such as between a Tomcat server and client, to steal data or inject malicious payloads.</t>
  </si>
  <si>
    <t>Inadequate Transport Layer Protection in Tomcat</t>
  </si>
  <si>
    <t>Sensitive data is intercepted or modified during transport due to weak encryption or lack of secure protocols.</t>
  </si>
  <si>
    <t>System Information Discovery</t>
  </si>
  <si>
    <t>Privilege Escalation in Tomcat</t>
  </si>
  <si>
    <t>Attackers exploit flaws or misconfigurations in Tomcat to gain elevated access.</t>
  </si>
  <si>
    <t>https://capec.mitre.org/data/definitions/274.html</t>
  </si>
  <si>
    <t>Tomcat Weak Encryption</t>
  </si>
  <si>
    <t>Tomcat components use weak or outdated encryption algorithms, making it easier for attackers to decrypt sensitive information.</t>
  </si>
  <si>
    <t>https://capec.mitre.org/data/definitions/326.html</t>
  </si>
  <si>
    <t>WebSphere Default Credentials Exploitation</t>
  </si>
  <si>
    <t>Attackers use default or weak credentials to gain unauthorized access to WebSphere administrative interfaces or applications.</t>
  </si>
  <si>
    <t>WebSphere Directory Traversal</t>
  </si>
  <si>
    <t>Attackers manipulate user inputs or URLs to retrieve files outside the intended directory, possibly exposing sensitive files or data.</t>
  </si>
  <si>
    <t>WebSphere Buffer Overflow Vulnerabilities</t>
  </si>
  <si>
    <t>Due to flaws in handling of specific inputs, attackers can cause buffer overflow, potentially leading to service disruptions or remote code execution.</t>
  </si>
  <si>
    <t>WebSphere Denial-of-Service (DoS) Attack</t>
  </si>
  <si>
    <t>Excessive requests or malformed inputs are used by attackers to exhaust resources, causing service unavailability.</t>
  </si>
  <si>
    <t>WebSphere Session Fixation</t>
  </si>
  <si>
    <t>Flaws in session management can be exploited to hijack or predict session IDs, granting unauthorized access.</t>
  </si>
  <si>
    <t>WebSphere Cross-Site Scripting (XSS)</t>
  </si>
  <si>
    <t>Malicious scripts are injected, which when executed in a user's browser can steal information or perform unwanted actions.</t>
  </si>
  <si>
    <t>WebSphere Cross-Site Request Forgery (CSRF)</t>
  </si>
  <si>
    <t>Users are deceived into performing certain actions without their consent, possibly causing unintended operations on the server.</t>
  </si>
  <si>
    <t>WebSphere Information Leakage via Errors</t>
  </si>
  <si>
    <t>Revealing error messages provide attackers insights into system details, configurations, or potential vulnerabilities.</t>
  </si>
  <si>
    <t>WebSphere XML External Entity (XXE) Attack</t>
  </si>
  <si>
    <t>Improper XML processing can lead to interactions with internal systems or data breaches.</t>
  </si>
  <si>
    <t>WebSphere Insecure Deserialization</t>
  </si>
  <si>
    <t>Flaws in deserialization processes can be exploited to execute arbitrary code or achieve privilege escalation.</t>
  </si>
  <si>
    <t>WebSphere Server Misconfiguration</t>
  </si>
  <si>
    <t>Poorly configured installations expose vulnerabilities, enabling unauthorized access or disruptions.</t>
  </si>
  <si>
    <t>WebSphere Man-in-the-Middle Attack</t>
  </si>
  <si>
    <t>Communication between WebSphere and clients is intercepted, allowing data theft or malicious injections.</t>
  </si>
  <si>
    <t>WebSphere Transport Layer Weaknesses</t>
  </si>
  <si>
    <t>Weak encryption or protocols expose data to interception or tampering during transport.</t>
  </si>
  <si>
    <t>WebSphere Privilege Escalation Vulnerabilities</t>
  </si>
  <si>
    <t>Attackers exploit vulnerabilities to gain higher-level privileges, possibly achieving full control.</t>
  </si>
  <si>
    <t>WebSphere SQL Injection</t>
  </si>
  <si>
    <t>Attackers introduce malicious SQL code which, when executed by WebSphere apps, can breach, modify, or delete data.</t>
  </si>
  <si>
    <t>WebSphere Weak Encryption Standards</t>
  </si>
  <si>
    <t>Components use outdated algorithms, making encrypted data more susceptible to decryption.</t>
  </si>
  <si>
    <t>WebSphere Malicious File Execution</t>
  </si>
  <si>
    <t>Attacker uploads and executes malicious files leading to potential breaches or service disruptions.</t>
  </si>
  <si>
    <t>https://capec.mitre.org/data/definitions/434.html</t>
  </si>
  <si>
    <t>WebSphere Header Manipulation</t>
  </si>
  <si>
    <t>Attackers manipulate HTTP headers to perform unauthorized operations or disrupt services.</t>
  </si>
  <si>
    <t>WebSphere Code Injection</t>
  </si>
  <si>
    <t>Attackers introduce malicious code which, when executed, can breach, modify, or lead to unauthorized operations.</t>
  </si>
  <si>
    <t>WebSphere Inadequate Access Control</t>
  </si>
  <si>
    <t>Lack of proper access controls can lead to unauthorized operations or data breaches.</t>
  </si>
  <si>
    <t>TA0010</t>
  </si>
  <si>
    <t>Exfiltration</t>
  </si>
  <si>
    <t>T1020</t>
  </si>
  <si>
    <t>Automated Exfiltration</t>
  </si>
  <si>
    <t>Apache Default Configuration Exploitation</t>
  </si>
  <si>
    <t>Attackers leverage default settings or weak configurations to gain unauthorized access or exploit the server.</t>
  </si>
  <si>
    <t>Apache Directory Listing Exposure</t>
  </si>
  <si>
    <t>Due to misconfigurations, directory listings are exposed, revealing file/folder names, leading to sensitive data exposure.</t>
  </si>
  <si>
    <t>Apache Buffer Overflow</t>
  </si>
  <si>
    <t>Flawed input handling causes a buffer overflow, potentially leading to service disruptions or remote code execution.</t>
  </si>
  <si>
    <t>Denial-of-Service (DoS) Attack on Apache</t>
  </si>
  <si>
    <t>Attackers send excessive requests or malformed inputs to drain server resources, causing service unavailability.</t>
  </si>
  <si>
    <t>Apache Server Side Request Forgery (SSRF)</t>
  </si>
  <si>
    <t>Exploiting server functionality to cause it to make unintended requests, possibly to internal systems.</t>
  </si>
  <si>
    <t>Apache Server Misconfiguration</t>
  </si>
  <si>
    <t>Poorly configured installations can lead to unauthorized access or service disruptions.</t>
  </si>
  <si>
    <t>Apache Header Manipulation</t>
  </si>
  <si>
    <t>Attackers manipulate HTTP headers to inject malicious content, hijack sessions, or bypass security mechanisms.</t>
  </si>
  <si>
    <t>Slowloris DoS Attack</t>
  </si>
  <si>
    <t>By opening many connections to the Apache server and keeping them open as long as possible, it can be exhausted.</t>
  </si>
  <si>
    <t>https://capec.mitre.org/data/definitions/586.html</t>
  </si>
  <si>
    <t>Apache .htaccess Override</t>
  </si>
  <si>
    <t>Attackers exploit configurations allowing .htaccess files to be overridden, leading to unauthorized URL redirection or access.</t>
  </si>
  <si>
    <t>Apache Command Injection</t>
  </si>
  <si>
    <t>Malicious commands are inserted into vulnerable applications or modules to be executed by the server.</t>
  </si>
  <si>
    <t>T1059.005</t>
  </si>
  <si>
    <t>Command and Scripting Interpreter: Command Line Interface</t>
  </si>
  <si>
    <t>Apache CSRF Token Prediction</t>
  </si>
  <si>
    <t>Predictable CSRF tokens allow attackers to forge legitimate requests leading to state changes without user consent.</t>
  </si>
  <si>
    <t>https://capec.mitre.org/data/definitions/290.html</t>
  </si>
  <si>
    <t>Apache Use of Hard-coded Credentials</t>
  </si>
  <si>
    <t>Modules or configurations use hard-coded credentials, which can be exploited for unauthorized access.</t>
  </si>
  <si>
    <t>Apache XML External Entity (XXE) Attack</t>
  </si>
  <si>
    <t>Due to insecure XML processing, attackers can cause the server to interact with internal systems or leak data.</t>
  </si>
  <si>
    <t>Apache Information Leakage via Logs</t>
  </si>
  <si>
    <t>Sensitive information is exposed in log files, which can be accessed or leaked, aiding attackers.</t>
  </si>
  <si>
    <t>Cookie Poisoning on Apache</t>
  </si>
  <si>
    <t>Attackers manipulate cookies to gain unauthorized information or perform actions without proper authentication.</t>
  </si>
  <si>
    <t>https://capec.mitre.org/data/definitions/163.html</t>
  </si>
  <si>
    <t>Apache CRLF Injection</t>
  </si>
  <si>
    <t>Attackers insert CRLF characters to manipulate the server or poison logs.</t>
  </si>
  <si>
    <t>https://capec.mitre.org/data/definitions/93.html</t>
  </si>
  <si>
    <t>Apache Man-in-the-Middle Attack</t>
  </si>
  <si>
    <t>Attackers secretly intercept and relay communication between two parties, possibly altering it.</t>
  </si>
  <si>
    <t>Session Fixation on Apache</t>
  </si>
  <si>
    <t>Attackers fix a user's session ID prior to authentication, allowing them to hijack user sessions.</t>
  </si>
  <si>
    <t>Apache Server Version Exposure</t>
  </si>
  <si>
    <t>Due to misconfigurations, the server reveals its version, potentially exposing known vulnerabilities.</t>
  </si>
  <si>
    <t>Cybersquatting (e.g., typosquatting)</t>
  </si>
  <si>
    <t>Apache Cross-Site Scripting (XSS)</t>
  </si>
  <si>
    <t>Attackers inject malicious scripts to be executed by end users, leading to various exploits like credential theft.</t>
  </si>
  <si>
    <t>Command and Scripting Interpreter: JavaScript</t>
  </si>
  <si>
    <t>IBM Default Configuration Exploitation</t>
  </si>
  <si>
    <t>Attackers often target default settings or configurations in the IBM HTTP Server, intending to exploit these settings to gain unauthorized access or perform other malicious actions. Leveraging default configurations often provides attackers with known vulnerabilities or predictable behavior.</t>
  </si>
  <si>
    <t>IBM Directory Traversal</t>
  </si>
  <si>
    <t>Directory traversal attacks aim to access files and directories that are stored outside the intended folder. By manipulating variables, an attacker can access restricted directories and execute commands outside the web server's root directory.</t>
  </si>
  <si>
    <t>Buffer Overflow in IBM HTTP</t>
  </si>
  <si>
    <t>IBM HTTP server might be vulnerable to buffer overflow attacks, which occur when an attacker sends more data to a buffer than it can handle. Successful exploitation can lead to code execution, service crash, or information disclosure.</t>
  </si>
  <si>
    <t>Denial-of-Service (DoS) Attack on IBM</t>
  </si>
  <si>
    <t>Attackers can send excessive or malformed requests to IBM HTTP Server to exhaust server resources, rendering the service unavailable to legitimate users.</t>
  </si>
  <si>
    <t>Header Injection Attack</t>
  </si>
  <si>
    <t>IBM HTTP Server can be vulnerable to header injection attacks, where attackers manipulate HTTP headers to bypass security, perform redirections, or execute code.</t>
  </si>
  <si>
    <t>Information Leakage via Logs</t>
  </si>
  <si>
    <t>Sensitive or critical information might get recorded in the server logs, which can be exploited by attackers to gather intel about the server's configuration, user behavior, or application structure.</t>
  </si>
  <si>
    <t>Server Side Request Forgery (SSRF) on IBM</t>
  </si>
  <si>
    <t>IBM HTTP Server can be vulnerable to SSRF attacks. Attackers can exploit server functionalities to trigger malicious requests to internal systems.</t>
  </si>
  <si>
    <t>IBM .htaccess Override Exploit</t>
  </si>
  <si>
    <t>Attackers can exploit configurations that allow .htaccess files to be overridden, leading to unauthorized redirection or potential code execution.</t>
  </si>
  <si>
    <t>Command Injection on IBM</t>
  </si>
  <si>
    <t>Attackers can insert malicious commands into vulnerable modules or applications running on IBM HTTP Server. When processed, the server may execute these commands, leading to data breaches or further system compromise.</t>
  </si>
  <si>
    <t>Cookie Poisoning on IBM</t>
  </si>
  <si>
    <t>By manipulating server cookies, attackers might perform unauthorized actions or gain access to restricted areas without proper authentication.</t>
  </si>
  <si>
    <t>XML External Entity (XXE) Attack on IBM</t>
  </si>
  <si>
    <t>IBM HTTP Server can be prone to XXE attacks if it's processing XML data without appropriate security configurations. Attackers can exploit this to retrieve internal files or interact with other internal systems.</t>
  </si>
  <si>
    <t>Server Version Exposure on IBM</t>
  </si>
  <si>
    <t>Revealing the version of IBM HTTP Server can provide attackers with information on potential vulnerabilities or known exploits specific to that version.</t>
  </si>
  <si>
    <t>Cross-Site Scripting (XSS) on IBM</t>
  </si>
  <si>
    <t>Attackers can inject malicious scripts that will be executed by the end user's browser. These scripts can lead to various malicious actions like stealing session cookies or injecting malicious payloads.</t>
  </si>
  <si>
    <t>Session Fixation on IBM</t>
  </si>
  <si>
    <t>An attacker induces a user to initiate an authenticated session via a fixed session identifier (SID). Once the user is authenticated, the attacker uses the predefined SID to hijack the user session.</t>
  </si>
  <si>
    <t>Use of Hard-coded Credentials</t>
  </si>
  <si>
    <t>IBM HTTP Server modules or configurations might have hard-coded credentials that can be exploited for unauthorized access.</t>
  </si>
  <si>
    <t>T1056.001</t>
  </si>
  <si>
    <t>Input Capture: Keylogging</t>
  </si>
  <si>
    <t>Domain shadowing or hijacking</t>
  </si>
  <si>
    <t>Host Header Injection</t>
  </si>
  <si>
    <t>By manipulating the host header, an attacker can poison web caches, perform password reset poisoning, or abuse alternative channels like password reset emails.</t>
  </si>
  <si>
    <t>https://capec.mitre.org/data/definitions/662.html</t>
  </si>
  <si>
    <t>T1059.006</t>
  </si>
  <si>
    <t>Command and Scripting Interpreter: Python</t>
  </si>
  <si>
    <t>Credential reuse</t>
  </si>
  <si>
    <t>Attackers flood the F5 Load Balancer, overwhelming its resources, potentially causing a denial of service to legitimate users. This can be especially damaging for applications relying on the balancer for distribution and availability.</t>
  </si>
  <si>
    <t>Instant messages</t>
  </si>
  <si>
    <t>An adversary situated between the user and the F5 Load Balancer intercepts SSL traffic and forces it to revert to HTTP, allowing for data interception and man-in-the-middle attacks.</t>
  </si>
  <si>
    <t>Standard Cryptographic Protocol</t>
  </si>
  <si>
    <t>Text messages</t>
  </si>
  <si>
    <t>Attackers exploit session stickiness features in F5 Load Balancer to direct requests to a specific server, potentially for targeted attacks or to exploit server-specific vulnerabilities.</t>
  </si>
  <si>
    <t>Chat room messages</t>
  </si>
  <si>
    <t>Adversaries send packets to the F5 Load Balancer with a manipulated source IP, which can mislead logging or bypass IP-based access controls.</t>
  </si>
  <si>
    <t>Poor password protection</t>
  </si>
  <si>
    <t>Attackers identify specifics of the servers behind the F5 Load Balancer, such as software versions and configurations, to devise targeted attack strategies.</t>
  </si>
  <si>
    <t>Attackers send malicious content to the F5 Load Balancer, causing it to be stored in cache. Unwary users then retrieve the malicious content, thinking it's from a trusted source.</t>
  </si>
  <si>
    <t>https://capec.mitre.org/data/definitions/456.html</t>
  </si>
  <si>
    <t>Attackers exploit improperly configured settings or unnecessary services on the F5 Load Balancer to gain unauthorized access or retrieve sensitive data.</t>
  </si>
  <si>
    <t>By observing the traffic patterns to and from the F5 Load Balancer, attackers can deduce sensitive information, such as peak activity times or transaction details, without needing to decrypt the traffic.</t>
  </si>
  <si>
    <t>https://capec.mitre.org/data/definitions/153.html</t>
  </si>
  <si>
    <t>T1042</t>
  </si>
  <si>
    <t>Exfiltration Over Physical Medium</t>
  </si>
  <si>
    <t>Attackers exploit vulnerabilities in SSL/TLS renegotiation on F5 Load Balancers to prepend malicious data to client requests.</t>
  </si>
  <si>
    <t>https://capec.mitre.org/data/definitions/463.html</t>
  </si>
  <si>
    <t>T1116</t>
  </si>
  <si>
    <t>Code Injection</t>
  </si>
  <si>
    <t>Adversaries attempt to decrypt SSL traffic processed by F5 Load Balancers. Successful decryption may allow the interception of sensitive information.</t>
  </si>
  <si>
    <t>Attackers intentionally send an excessive number of requests to the F5 Load Balancer, potentially causing it to crash or get overwhelmed, which impacts user access to applications.</t>
  </si>
  <si>
    <t>https://capec.mitre.org/data/definitions/645.html</t>
  </si>
  <si>
    <t>By finding vulnerabilities or misconfigurations, attackers may bypass the F5 Load Balancer altogether, directly accessing the backend servers and their resources.</t>
  </si>
  <si>
    <t>Attackers inject malicious commands into inputs or scripts that the F5 Load Balancer processes, potentially compromising its operations or the backend systems.</t>
  </si>
  <si>
    <t>Execution</t>
  </si>
  <si>
    <t>Exploiting flaws or misconfigurations in the F5 Load Balancer's authentication mechanism, attackers gain unauthorized access to protected resources.</t>
  </si>
  <si>
    <t>Upon gaining unauthorized access to the F5 Load Balancer, attackers alter its configuration to disrupt its operations or create vulnerabilities for future attacks.</t>
  </si>
  <si>
    <t>https://capec.mitre.org/data/definitions/15.html</t>
  </si>
  <si>
    <t>TA0005</t>
  </si>
  <si>
    <t>Defense Evasion</t>
  </si>
  <si>
    <t>Inhibit System Recovery</t>
  </si>
  <si>
    <t>T1040</t>
  </si>
  <si>
    <t>Network Sniffing</t>
  </si>
  <si>
    <t>Attackers exploit misconfigurations or vulnerabilities in Oracle Database to gain elevated privileges.</t>
  </si>
  <si>
    <t>Database Buffer Overflow</t>
  </si>
  <si>
    <t>T1090</t>
  </si>
  <si>
    <t>Attackers exploit weak data protection mechanisms in Oracle Database, leading to unauthorized data access.</t>
  </si>
  <si>
    <t>T1213</t>
  </si>
  <si>
    <t>Data from Information Repositories</t>
  </si>
  <si>
    <t>Brute Force Attack</t>
  </si>
  <si>
    <t>Attackers repeatedly try different credentials or encryption keys until they find the correct ones to access Oracle Database.</t>
  </si>
  <si>
    <t>Brute Force</t>
  </si>
  <si>
    <t>Unauthorized Database Changes</t>
  </si>
  <si>
    <t>Attackers modify database content without permission, either to disrupt services or falsify data.</t>
  </si>
  <si>
    <t>Stored Procedure Attack</t>
  </si>
  <si>
    <t>https://capec.mitre.org/data/definitions/91.html</t>
  </si>
  <si>
    <t>T1047</t>
  </si>
  <si>
    <t>Windows Management Instrumentation</t>
  </si>
  <si>
    <t>Data Poisoning</t>
  </si>
  <si>
    <t>Configuration Manipulation</t>
  </si>
  <si>
    <t>Attackers gain access to Oracle Database configurations, altering them to introduce vulnerabilities or disrupt services.</t>
  </si>
  <si>
    <t>Transaction Log Manipulation</t>
  </si>
  <si>
    <t>https://capec.mitre.org/data/definitions/475.html</t>
  </si>
  <si>
    <t>Oracle TNS Listener Poisoning</t>
  </si>
  <si>
    <t>https://capec.mitre.org/data/definitions/541.html</t>
  </si>
  <si>
    <t>Oracle Database Link Exploit</t>
  </si>
  <si>
    <t>Attackers exploit database links in Oracle to gain unauthorized access to data or connected databases.</t>
  </si>
  <si>
    <t>https://capec.mitre.org/data/definitions/542.html</t>
  </si>
  <si>
    <t>Unauthorized Database Snapshot</t>
  </si>
  <si>
    <t>PL/SQL Code Injection</t>
  </si>
  <si>
    <t>Attackers insert malicious SQL code into input fields, which gets executed, potentially giving unauthorized access or revealing sensitive data.</t>
  </si>
  <si>
    <t>Attackers send excessive data to Oracle Database, overflowing its buffer, leading to erratic behavior, crashes, or potentially arbitrary code execution.</t>
  </si>
  <si>
    <t>Exploiting vulnerabilities in stored procedures, attackers can execute arbitrary commands or tamper with Oracle Database operations.</t>
  </si>
  <si>
    <t>Attackers insert or modify data in Oracle Database to produce incorrect results, potentially disrupting operations.</t>
  </si>
  <si>
    <t>Attackers access or manipulate Oracle Database transaction logs, disrupting operations or aiding in data theft.</t>
  </si>
  <si>
    <t>Attackers exploit the Oracle TNS Listener to reroute client connections to rogue databases, leading to data theft or corruption.</t>
  </si>
  <si>
    <t>Attackers create unauthorized snapshots of Oracle Database for data theft or ransom attacks.</t>
  </si>
  <si>
    <t>Attackers insert malicious PL/SQL code, compromising the database or associated applications.</t>
  </si>
  <si>
    <t>Unauthorized Data Modification</t>
  </si>
  <si>
    <t>Database Trigger Manipulation</t>
  </si>
  <si>
    <t>https://capec.mitre.org/data/definitions/154.html</t>
  </si>
  <si>
    <t>Command and Scripting Interpreter: Visual Basic</t>
  </si>
  <si>
    <t>PostgreSQL Extensions Exploitation</t>
  </si>
  <si>
    <t>Persistence</t>
  </si>
  <si>
    <t>T1136.001</t>
  </si>
  <si>
    <t>Create Account: Local Account</t>
  </si>
  <si>
    <t>Logging and Audit Evasion</t>
  </si>
  <si>
    <t>Indicator Removal on Host</t>
  </si>
  <si>
    <t>Attackers exploit vulnerable user inputs in applications connected to PostgreSQL. By inserting malicious SQL statements into these inputs, they can manipulate the database for unauthorized access, data leakage, or data tampering. This compromises data integrity and confidentiality.</t>
  </si>
  <si>
    <t>Attackers seek vulnerabilities within PostgreSQL's permission system or its associated OS. Once found, these vulnerabilities are exploited to gain higher-level privileges than initially granted, possibly allowing full database control.</t>
  </si>
  <si>
    <t>Through misconfigured database permissions or weak data protection mechanisms, attackers can gain unauthorized access to sensitive PostgreSQL data, leading to data breaches and potential misuse.</t>
  </si>
  <si>
    <t>Attackers employ automated scripts to repeatedly guess database credentials, targeting PostgreSQL's login mechanisms. Successful brute force attacks can provide unauthorized database access, leading to a range of malicious activities.</t>
  </si>
  <si>
    <t>After gaining access, malicious actors can alter, delete, or tamper with the data stored in PostgreSQL. This threatens data integrity and can cause significant operational disruptions.</t>
  </si>
  <si>
    <t>Stored procedures in PostgreSQL can be manipulated or exploited if not securely written. Attackers can insert malicious commands or operations within these procedures, which can lead to data breaches or unauthorized system operations.</t>
  </si>
  <si>
    <t>PostgreSQL's configuration files, if not properly secured, can be a target. Attackers might alter these files to weaken security, introduce vulnerabilities, or modify database behavior to suit malicious objectives.</t>
  </si>
  <si>
    <t>Triggers are automated operations in PostgreSQL that respond to specific events. Malicious actors can modify or insert rogue triggers to perform unintended operations, potentially leading to data leaks or system exploitation.</t>
  </si>
  <si>
    <t>Extensions enhance PostgreSQL functionalities. However, vulnerabilities in these extensions or maliciously crafted ones can provide attackers with unauthorized functionalities or be used for malicious purposes.</t>
  </si>
  <si>
    <t>To cover their tracks, malicious actors may employ techniques to prevent their activities from being logged or noticed in PostgreSQL's audit trails. This can hinder incident response and forensics.</t>
  </si>
  <si>
    <t>Attackers exploit vulnerable inputs in applications connected to DB2. They insert malicious SQL statements, leading to unauthorized data access, manipulation, or leakage. Proper input validation can prevent such attacks.</t>
  </si>
  <si>
    <t>Exploiting vulnerabilities within DB2's permission system, attackers gain higher privileges than intended, possibly achieving full database control.</t>
  </si>
  <si>
    <t>DB2 might be vulnerable to buffer overflow attacks if not patched regularly. Attackers can overflow buffers to execute arbitrary code or crash the system, compromising data integrity.</t>
  </si>
  <si>
    <t>Weak data protection mechanisms or misconfigured database permissions might expose sensitive DB2 data, leading to breaches and potential misuse.</t>
  </si>
  <si>
    <t>Attackers might target DB2 with excessive requests or specific attack vectors, making the database system unresponsive or slow. This disrupts normal operations and can have a cascading effect on dependent applications.</t>
  </si>
  <si>
    <t>Unauthorized Configuration Changes</t>
  </si>
  <si>
    <t>Malicious actors may alter DB2 configuration settings if not properly secured. Such alterations can weaken security, introduce vulnerabilities, or change database behavior.</t>
  </si>
  <si>
    <t>Stored Procedure Tampering</t>
  </si>
  <si>
    <t>DB2's stored procedures, if not securely implemented, can be targets. Attackers can inject malicious operations, leading to unintended data operations, leaks, or system manipulations.</t>
  </si>
  <si>
    <t>Log Tampering</t>
  </si>
  <si>
    <t>To conceal malicious activity, attackers might tamper with DB2's logs. By altering or deleting log entries, they can hinder incident response and forensics.</t>
  </si>
  <si>
    <t>Backup Data Theft</t>
  </si>
  <si>
    <t>Backups of DB2 databases can contain sensitive data. Attackers might target misconfigured backup storage or intercept backup processes to obtain this data, leading to unauthorized data access.</t>
  </si>
  <si>
    <t>https://capec.mitre.org/data/definitions/603.html</t>
  </si>
  <si>
    <t>Attackers exploit vulnerabilities in the DB2 system by injecting malicious commands. This can lead to unauthorized data access, manipulation, or system compromise.</t>
  </si>
  <si>
    <t>NoSQL Injection</t>
  </si>
  <si>
    <t>Attackers exploit input validation weaknesses in MongoDB-powered applications, leading to unauthorized data retrieval, data corruption, or other unintended outcomes. It's similar to SQL injection but tailored for NoSQL databases.</t>
  </si>
  <si>
    <t>https://capec.mitre.org/data/definitions/134.html</t>
  </si>
  <si>
    <t>Exposure of Sensitive Information</t>
  </si>
  <si>
    <t>Improperly configured MongoDB instances can expose sensitive data to the public. Misconfigured database permissions might lead to data breaches.</t>
  </si>
  <si>
    <t>Attackers target MongoDB with excessive requests or specific attack vectors, causing the database to become unresponsive, slowing down, or even crashing.</t>
  </si>
  <si>
    <t>Unsecured MongoDB Instances</t>
  </si>
  <si>
    <t>Configuration</t>
  </si>
  <si>
    <t>MongoDB instances that are not securely configured can be accessed without authentication, leading to unauthorized data retrieval, alteration, or deletion.</t>
  </si>
  <si>
    <t>Data Manipulation</t>
  </si>
  <si>
    <t>Attackers can modify data in MongoDB if there's a lack of proper access controls or vulnerabilities in the application using the database.</t>
  </si>
  <si>
    <t>Exploiting MongoDB's permission system vulnerabilities, attackers might gain higher privileges than intended.</t>
  </si>
  <si>
    <t>Database Enumeration</t>
  </si>
  <si>
    <t>Attackers probe MongoDB to gather metadata like database names, schemas, or other configurations, aiding in further attacks.</t>
  </si>
  <si>
    <t>https://capec.mitre.org/data/definitions/310.html</t>
  </si>
  <si>
    <t>T1018</t>
  </si>
  <si>
    <t>Remote System Discovery</t>
  </si>
  <si>
    <t>Server-Side JavaScript (SSJS) Injection</t>
  </si>
  <si>
    <t>MongoDB allows for server-side JavaScript execution. If not properly secured, attackers can exploit this to run malicious scripts.</t>
  </si>
  <si>
    <t>https://capec.mitre.org/data/definitions/252.html</t>
  </si>
  <si>
    <t>Unsafe Exposure of Monitoring Services</t>
  </si>
  <si>
    <t>MongoDB monitoring services, if exposed without proper authentication, can leak vital operational details to attackers.</t>
  </si>
  <si>
    <t>Failure to Encrypt Data at Rest</t>
  </si>
  <si>
    <t>MongoDB data, if not encrypted at rest, can be accessed and exposed when attackers gain physical access to the storage medium.</t>
  </si>
  <si>
    <t>https://capec.mitre.org/data/definitions/311.html</t>
  </si>
  <si>
    <t>Insufficient logging and monitoring in MongoDB can hinder the detection of malicious activity, resulting in delayed or missed response.</t>
  </si>
  <si>
    <t>Version Exposure</t>
  </si>
  <si>
    <t>Exposing MongoDB's version can give attackers information about potential vulnerabilities specific to that version.</t>
  </si>
  <si>
    <t>Default Configurations</t>
  </si>
  <si>
    <t>MongoDB's default configurations might be insecure, and if unchanged, they can introduce vulnerabilities.</t>
  </si>
  <si>
    <t>Use of Outdated or Vulnerable Libraries</t>
  </si>
  <si>
    <t>Using outdated MongoDB libraries or plugins can introduce vulnerabilities that attackers can exploit.</t>
  </si>
  <si>
    <t>https://capec.mitre.org/data/definitions/494.html</t>
  </si>
  <si>
    <t>Unencrypted Network Traffic</t>
  </si>
  <si>
    <t>If MongoDB traffic isn't encrypted, attackers can eavesdrop on the data being transmitted, leading to data breaches.</t>
  </si>
  <si>
    <t>Attackers exploit input validation vulnerabilities in applications using Cassandra, which can result in unauthorized data retrieval or data corruption.</t>
  </si>
  <si>
    <t>Exposure of Sensitive Data</t>
  </si>
  <si>
    <t>A Cassandra instance without adequate security settings can expose sensitive information, possibly leading to unauthorized data access.</t>
  </si>
  <si>
    <t>Cassandra can be targeted with a flood of malicious requests, leading to overconsumption of resources and a possible service outage.</t>
  </si>
  <si>
    <t>Unauthenticated Access</t>
  </si>
  <si>
    <t>If not secured correctly, Cassandra can be accessed without necessary authentication, enabling unauthorized data operations.</t>
  </si>
  <si>
    <t>Through exploiting certain vulnerabilities or misconfigurations in Cassandra, attackers can gain elevated access beyond their permissions.</t>
  </si>
  <si>
    <t>Inter-Node Snooping</t>
  </si>
  <si>
    <t>Without encrypted communications between nodes, an attacker can potentially intercept data exchanges within the Cassandra cluster.</t>
  </si>
  <si>
    <t>In the absence of adequate integrity controls, attackers may alter data stored in Cassandra.</t>
  </si>
  <si>
    <t>Data stored by Cassandra, if not encrypted, can be exposed if attackers gain access to its storage environment.</t>
  </si>
  <si>
    <t>Using Default Credentials</t>
  </si>
  <si>
    <t>Failure to change default login credentials can allow unauthorized access to the Cassandra database.</t>
  </si>
  <si>
    <t>Revealing the version of Cassandra can provide attackers with insights into potential version-specific vulnerabilities.</t>
  </si>
  <si>
    <t>Outdated Software Components</t>
  </si>
  <si>
    <t>Using deprecated or outdated Cassandra components can expose the system to known vulnerabilities.</t>
  </si>
  <si>
    <t>Improper Access Controls</t>
  </si>
  <si>
    <t>Failure to establish correct user roles and permissions can allow unauthorized actions on data or configurations.</t>
  </si>
  <si>
    <t>https://capec.mitre.org/data/definitions/264.html</t>
  </si>
  <si>
    <t>Backup Data Exposure</t>
  </si>
  <si>
    <t>Backups not securely stored or transmitted can be a source of data leaks.</t>
  </si>
  <si>
    <t>https://capec.mitre.org/data/definitions/530.html</t>
  </si>
  <si>
    <t>Attackers could modify system configurations to weaken security or disrupt service.</t>
  </si>
  <si>
    <t>Inadequate Audit Logs</t>
  </si>
  <si>
    <t>Insufficient logging can prevent timely detection of malicious activities, impacting incident response.</t>
  </si>
  <si>
    <t>Attackers may exploit input validation vulnerabilities in applications using Hazelcast to achieve unauthorized data retrieval or corruption.</t>
  </si>
  <si>
    <t>Unsecured Hazelcast configurations can lead to unintentional data exposure, leading to unauthorized data access.</t>
  </si>
  <si>
    <t>Hazelcast can be flooded with malicious requests, causing resource overconsumption and service disruptions.</t>
  </si>
  <si>
    <t>Lack of proper security in Hazelcast can result in unauthenticated access, allowing unauthorized operations on data.</t>
  </si>
  <si>
    <t>Vulnerabilities or misconfigurations in Hazelcast can be exploited by attackers to gain elevated access.</t>
  </si>
  <si>
    <t>Without robust integrity controls, attackers can alter data stored in Hazelcast.</t>
  </si>
  <si>
    <t>Not updating default credentials can allow unauthorized access to Hazelcast.</t>
  </si>
  <si>
    <t>Divulging the Hazelcast version provides attackers with insights into potential vulnerabilities.</t>
  </si>
  <si>
    <t>Outdated Components</t>
  </si>
  <si>
    <t>Deprecated or outdated Hazelcast components can expose systems to known vulnerabilities.</t>
  </si>
  <si>
    <t>Failing to set up proper user roles and permissions can enable unauthorized actions on Hazelcast data.</t>
  </si>
  <si>
    <t>Potential adversaries could manipulate Hazelcast system configurations, compromising security or disrupting service.</t>
  </si>
  <si>
    <t>Network Eavesdropping</t>
  </si>
  <si>
    <t>Without encryption, data exchanges within Hazelcast clusters can be intercepted by attackers.</t>
  </si>
  <si>
    <t>Backup data not securely stored or transmitted might lead to data breaches.</t>
  </si>
  <si>
    <t>Cluster Joining Exploits</t>
  </si>
  <si>
    <t>If Hazelcast's cluster auto-discovery isn't secured, malicious nodes could potentially join, leading to data breaches.</t>
  </si>
  <si>
    <t>https://capec.mitre.org/data/definitions/185.html</t>
  </si>
  <si>
    <t>Logging Vulnerabilities</t>
  </si>
  <si>
    <t>Logging sensitive information or failing to secure logs can expose sensitive data to attackers.</t>
  </si>
  <si>
    <t>Redis instances without proper authentication can be accessed by unauthorized users. This could lead to unauthorized operations on data.</t>
  </si>
  <si>
    <t>Attackers may exploit input validation vulnerabilities in applications using Redis to inject malicious commands.</t>
  </si>
  <si>
    <t>Unsecured Redis configurations or lack of encryption can lead to unintentional data exposure.</t>
  </si>
  <si>
    <t>Malicious requests can flood Redis, causing excessive memory utilization and potential service interruptions.</t>
  </si>
  <si>
    <t>Snapshot Exposure</t>
  </si>
  <si>
    <t>Redis snapshots (.rdb files) stored without proper security can be accessed, leading to data breaches.</t>
  </si>
  <si>
    <t>Leaking the Redis version through errors or headers may give potential attackers insight into known vulnerabilities.</t>
  </si>
  <si>
    <t>Default Credentials</t>
  </si>
  <si>
    <t>Using default credentials can give attackers unauthorized access if they're not changed after installation.</t>
  </si>
  <si>
    <t>Man in the Middle</t>
  </si>
  <si>
    <t>If Redis communication isn't encrypted, attackers could potentially intercept data.</t>
  </si>
  <si>
    <t>Man-in-the-middle</t>
  </si>
  <si>
    <t>Replication Exploit</t>
  </si>
  <si>
    <t>Malicious nodes could mimic legitimate nodes, leading to data breaches in replication setups.</t>
  </si>
  <si>
    <t>Command Execution</t>
  </si>
  <si>
    <t>Some Redis configurations may allow attackers to execute arbitrary commands.</t>
  </si>
  <si>
    <t>Excessive Memory Usage</t>
  </si>
  <si>
    <t>Attackers might exploit configurations to store large amounts of data in Redis, causing it to use excessive memory and potentially crash.</t>
  </si>
  <si>
    <t>https://capec.mitre.org/data/definitions/770.html</t>
  </si>
  <si>
    <t>Key Overwrites</t>
  </si>
  <si>
    <t>Attackers can intentionally overwrite keys, causing data loss or corruption.</t>
  </si>
  <si>
    <t>Lua Scripting Vulnerabilities</t>
  </si>
  <si>
    <t>Exploiting vulnerabilities in Redis' Lua scripting to execute arbitrary code.</t>
  </si>
  <si>
    <t>Unauthorized Subscription</t>
  </si>
  <si>
    <t>Attackers could subscribe to a Redis Pub/Sub channel and eavesdrop on sensitive data.</t>
  </si>
  <si>
    <t>https://capec.mitre.org/data/definitions/620.html</t>
  </si>
  <si>
    <t>Backup Theft</t>
  </si>
  <si>
    <t>Failure to secure backups can lead attackers to gain unauthorized access to backup files, leading to data exposure.</t>
  </si>
  <si>
    <t>Attackers could alter data in Redis, leading to misinformation or malicious activities.</t>
  </si>
  <si>
    <t>Unauthorized Topic Access</t>
  </si>
  <si>
    <t>Without proper authentication and authorization, unauthorized users can access Kafka topics and consume messages, potentially accessing sensitive data.</t>
  </si>
  <si>
    <t>Zookeeper Exploitation</t>
  </si>
  <si>
    <t>Kafka's reliance on Zookeeper for distributed management can be exploited if Zookeeper's security is misconfigured, allowing unauthorized access.</t>
  </si>
  <si>
    <t>NoSSL/TLS Encryption</t>
  </si>
  <si>
    <t>Without proper encryption, data in transit can be intercepted and accessed by malicious actors.</t>
  </si>
  <si>
    <t>Unauthenticated Producer Access</t>
  </si>
  <si>
    <t>Without stringent authentication, unauthorized producers can send malicious data into Kafka topics.</t>
  </si>
  <si>
    <t>Consumer Lags</t>
  </si>
  <si>
    <t>Performance</t>
  </si>
  <si>
    <t>Attackers may deliberately introduce a high volume of data, causing consumer lags and potential service interruptions.</t>
  </si>
  <si>
    <t>Schema Registry Manipulation</t>
  </si>
  <si>
    <t>If not properly secured, attackers can manipulate schemas, leading to potential data corruption.</t>
  </si>
  <si>
    <t>Log Compaction Attacks</t>
  </si>
  <si>
    <t>Attackers may insert malicious records in the hope they become the compacted values, thereby persisting in the logs.</t>
  </si>
  <si>
    <t>https://capec.mitre.org/data/definitions/488.html</t>
  </si>
  <si>
    <t>Insecure Connectors/Plugins</t>
  </si>
  <si>
    <t>Some third-party connectors or plugins might introduce vulnerabilities or might be misconfigured.</t>
  </si>
  <si>
    <t>Denial of Service via API</t>
  </si>
  <si>
    <t>Attackers could flood the Kafka API, consuming all available resources and causing potential service disruptions.</t>
  </si>
  <si>
    <t>Consumer Offset Manipulation</t>
  </si>
  <si>
    <t>Malicious actors might manipulate the offset to reprocess or skip messages, leading to potential data loss or repeated data processing.</t>
  </si>
  <si>
    <t>Outdated Dependencies</t>
  </si>
  <si>
    <t>Using outdated Kafka or Java versions can make the system vulnerable to known exploits.</t>
  </si>
  <si>
    <t>https://capec.mitre.org/data/definitions/511.html</t>
  </si>
  <si>
    <t>Attackers may exploit default credentials to gain unauthorized access to Kafka.</t>
  </si>
  <si>
    <t>Attackers can deliberately produce excessive messages, consuming all available resources and potentially crashing the Kafka brokers.</t>
  </si>
  <si>
    <t>Partition Unavailability</t>
  </si>
  <si>
    <t>By targeting specific partitions, attackers might cause data unavailability for certain topics.</t>
  </si>
  <si>
    <t>Interbroker Communication Sniffing</t>
  </si>
  <si>
    <t>If interbroker communication isn't encrypted, an attacker can potentially sniff data being transferred between brokers.</t>
  </si>
  <si>
    <t>API Version Exploits</t>
  </si>
  <si>
    <t>Different Kafka API versions might have different vulnerabilities. An attacker could exploit these if the broker is backward-compatible with vulnerable versions.</t>
  </si>
  <si>
    <t>By sending a large number of requests or large-size messages, an attacker might exhaust system resources.</t>
  </si>
  <si>
    <t>Producer Quota Bypass</t>
  </si>
  <si>
    <t>If quotas aren't properly set or enforced, a producer could potentially flood the Kafka cluster with data.</t>
  </si>
  <si>
    <t>JMX Port Misconfiguration</t>
  </si>
  <si>
    <t>Java Management Extensions (JMX) ports, if exposed and unprotected, can be a point of entry for attackers.</t>
  </si>
  <si>
    <t>Topic Manipulation via Control API</t>
  </si>
  <si>
    <t>Through the Control API, malicious actors could potentially create, delete, or alter topics.</t>
  </si>
  <si>
    <t>Unauthorized Queue Access</t>
  </si>
  <si>
    <t>Without strong authentication and authorization, attackers might read, write or delete messages from MQ queues, leading to data leaks or denial of service.</t>
  </si>
  <si>
    <t>MQ Channel Snooping</t>
  </si>
  <si>
    <t>If MQ channels are not properly encrypted, attackers can potentially intercept and read message data during transit.</t>
  </si>
  <si>
    <t>Channel Configuration Tampering</t>
  </si>
  <si>
    <t>Attackers might alter the properties of an MQ channel, potentially leading to misrouted messages or denial of service.</t>
  </si>
  <si>
    <t>Queue Manager Exploitation</t>
  </si>
  <si>
    <t>If not properly secured, the MQ queue manager can be accessed and controlled, leading to potential service disruptions or message manipulation.</t>
  </si>
  <si>
    <t>Unpatched Vulnerabilities</t>
  </si>
  <si>
    <t>Using outdated IBM MQ versions can expose the system to known exploits, leading to potential data breaches or service disruptions.</t>
  </si>
  <si>
    <t>Attackers might exploit default admin or app credentials to gain unauthorized access to IBM MQ.</t>
  </si>
  <si>
    <t>Queue Flooding</t>
  </si>
  <si>
    <t>Attackers can overload queues with excessive messages, potentially leading to service disruptions or resource exhaustion.</t>
  </si>
  <si>
    <t>Without proper message integrity mechanisms, attackers can alter the content of messages in transit or at rest.</t>
  </si>
  <si>
    <t>https://capec.mitre.org/data/definitions/74.html</t>
  </si>
  <si>
    <t>Admin Interface Exploitation</t>
  </si>
  <si>
    <t>The administrative interface, if exposed, can be a point of entry for attackers to control the entire MQ environment.</t>
  </si>
  <si>
    <t>Cluster Configuration Manipulation</t>
  </si>
  <si>
    <t>In IBM MQ clusters, malicious actors might alter configuration to route messages to unauthorized or malicious nodes.</t>
  </si>
  <si>
    <t>Excessive Connection Attempts</t>
  </si>
  <si>
    <t>Attackers might deliberately try to create excessive connections to the queue manager, leading to potential service disruptions.</t>
  </si>
  <si>
    <t>Publisher Impersonation</t>
  </si>
  <si>
    <t>Attackers could send fraudulent messages to queues by impersonating legitimate publishers, leading to misinformation or service disruptions.</t>
  </si>
  <si>
    <t>https://capec.mitre.org/data/definitions/30.html</t>
  </si>
  <si>
    <t>Queue Property Manipulation</t>
  </si>
  <si>
    <t>By altering queue properties, attackers might change the behavior of the queue, like persistence or priority, impacting message delivery.</t>
  </si>
  <si>
    <t>Message Redirection</t>
  </si>
  <si>
    <t>Attackers could potentially redirect legitimate messages to other queues, leading to potential data breaches or missed processing.</t>
  </si>
  <si>
    <t>If logs are not properly secured, attackers might alter or delete logs to hide malicious activities.</t>
  </si>
  <si>
    <t>Unauthorized Message Access</t>
  </si>
  <si>
    <t>Attackers can potentially access sensitive messages if appropriate authentication and authorization mechanisms aren't in place, potentially leading to data breaches.</t>
  </si>
  <si>
    <t>Without strong message integrity checks, attackers might capture and resend messages, leading to potential misinformation or double processing.</t>
  </si>
  <si>
    <t>TA0008</t>
  </si>
  <si>
    <t>Lateral Movement</t>
  </si>
  <si>
    <t>T1550</t>
  </si>
  <si>
    <t>Use Alternate Authentication Material</t>
  </si>
  <si>
    <t>Topic Manipulation</t>
  </si>
  <si>
    <t>Attackers might subscribe to unintended topics to receive messages not intended for them or publish malicious messages to unintended topics.</t>
  </si>
  <si>
    <t>Broker Overload</t>
  </si>
  <si>
    <t>Attackers can deliberately publish a large number of messages to overload the Solace broker, leading to service disruptions.</t>
  </si>
  <si>
    <t>In the absence of message integrity checks, attackers can modify messages in transit or at rest, potentially leading to data breaches or misinformation.</t>
  </si>
  <si>
    <t>Broker Misconfiguration</t>
  </si>
  <si>
    <t>Improper broker configurations can expose sensitive data or functionality, providing entry points for attackers.</t>
  </si>
  <si>
    <t>Exposed Management Interface</t>
  </si>
  <si>
    <t>Exposing the Solace management interface without proper access controls could allow attackers to alter broker configurations or gain unauthorized control.</t>
  </si>
  <si>
    <t>Message Flooding</t>
  </si>
  <si>
    <t>Attackers can deliberately send a large number of messages to specific topics, potentially disrupting services or applications subscribed to those topics.</t>
  </si>
  <si>
    <t>Attackers could send malicious messages to topics by impersonating legitimate publishers, potentially causing misinformation or disruptions.</t>
  </si>
  <si>
    <t>Subscription DoS</t>
  </si>
  <si>
    <t>By creating a large number of subscriptions, an attacker can potentially exhaust system resources.</t>
  </si>
  <si>
    <t>Admin Credentials Brute Force</t>
  </si>
  <si>
    <t>Authentication</t>
  </si>
  <si>
    <t>Attackers might try multiple combinations to guess admin credentials, potentially gaining unauthorized access.</t>
  </si>
  <si>
    <t>https://capec.mitre.org/data/definitions/49.html</t>
  </si>
  <si>
    <t>Unpatched Solace Vulnerabilities</t>
  </si>
  <si>
    <t>Old versions of Solace might have vulnerabilities that attackers can exploit, potentially leading to data breaches or service disruptions.</t>
  </si>
  <si>
    <t>Exposed Debug Interfaces</t>
  </si>
  <si>
    <t>Debug interfaces, if exposed, can leak sensitive information or functionality, providing potential exploitation points for attackers.</t>
  </si>
  <si>
    <t>Client Library Exploits</t>
  </si>
  <si>
    <t>Attacker exploits vulnerabilities in client libraries to compromise applications interfacing with Solace.</t>
  </si>
  <si>
    <t>Malformed Message Attacks</t>
  </si>
  <si>
    <t>Attackers send malformed messages to crash or hang the message broker or consuming clients.</t>
  </si>
  <si>
    <t>https://capec.mitre.org/data/definitions/137.html</t>
  </si>
  <si>
    <t>API Endpoint Exposure</t>
  </si>
  <si>
    <t>Misconfiguration of the NGINX server can lead to unintended API endpoints being exposed, potentially revealing sensitive operations or data.</t>
  </si>
  <si>
    <t>Rate Limiting Bypass</t>
  </si>
  <si>
    <t>Attackers may exploit missing rate limits on the API endpoints, leading to denial-of-service or brute force attacks.</t>
  </si>
  <si>
    <t>Weak protection mechanisms can lead to unintentional exposure of API keys, enabling unauthorized access or operations.</t>
  </si>
  <si>
    <t>Attackers intercept and downgrade client-server communication from HTTPS to HTTP, gaining access to data in transit.</t>
  </si>
  <si>
    <t>Backend API Fingerprinting</t>
  </si>
  <si>
    <t>Reconnaissance</t>
  </si>
  <si>
    <t>By analyzing the responses from the API server, attackers might infer details about the backend systems and databases, aiding further attacks.</t>
  </si>
  <si>
    <t>Inadequate security checks could allow unauthorized users to bypass authentication mechanisms and gain access to restricted API endpoints.</t>
  </si>
  <si>
    <t>Attackers may exploit weak session management to hijack user sessions and impersonate legitimate users.</t>
  </si>
  <si>
    <t>By manipulating API request paths, attackers might access files or resources outside of the intended scope.</t>
  </si>
  <si>
    <t>Misconfigurations in the NGINX API server could expose sensitive data or functionality, providing entry points for attackers.</t>
  </si>
  <si>
    <t>Insecure Dependencies</t>
  </si>
  <si>
    <t>Using outdated or vulnerable libraries in the API application stack can introduce vulnerabilities that attackers can exploit.</t>
  </si>
  <si>
    <t>Request Forgery</t>
  </si>
  <si>
    <t>Attackers could craft malicious requests to trick the API server into performing unintended actions, potentially causing data breaches or disruptions.</t>
  </si>
  <si>
    <t>https://capec.mitre.org/data/definitions/573.html</t>
  </si>
  <si>
    <t>Request Smuggling</t>
  </si>
  <si>
    <t>Attackers send ambiguous requests to bypass security controls, potentially leading to cache poisoning or other unauthorized actions.</t>
  </si>
  <si>
    <t>Processing maliciously crafted data can lead to arbitrary code execution or other unintended behaviors.</t>
  </si>
  <si>
    <t>Bogus email attachments</t>
  </si>
  <si>
    <t>Improperly implemented access controls could allow unauthorized users to access or modify data or functionality.</t>
  </si>
  <si>
    <t>Memory Leak Exploitation</t>
  </si>
  <si>
    <t>By causing the server to consume excessive memory, attackers might degrade the server's performance or cause it to crash.</t>
  </si>
  <si>
    <t>Ineffective logging and monitoring could delay the detection of malicious activity, giving attackers more time to exploit vulnerabilities.</t>
  </si>
  <si>
    <t>S.No</t>
  </si>
  <si>
    <t>Link</t>
  </si>
  <si>
    <t>Unsecured API Endpoint</t>
  </si>
  <si>
    <t>Misconfiguration within KONG may result in exposure of API endpoints that are not intended for public access, possibly revealing sensitive data or operations.</t>
  </si>
  <si>
    <t>API Rate Limit Absence</t>
  </si>
  <si>
    <t>Without proper rate limits on API endpoints, attackers can cause denial-of-service attacks or carry out brute force methods against authentication systems.</t>
  </si>
  <si>
    <t>Exposed API Keys/Secrets</t>
  </si>
  <si>
    <t>Inadequate protection or misconfiguration might expose API keys and secrets, granting unauthorized access.</t>
  </si>
  <si>
    <t>SSL Downgrade Attack</t>
  </si>
  <si>
    <t>Attackers can intercept and modify client-server communication, converting HTTPS to HTTP, thereby accessing data in transit.</t>
  </si>
  <si>
    <t>Plugin Misconfiguration</t>
  </si>
  <si>
    <t>Improperly configured plugins can introduce vulnerabilities, potentially compromising the security of the KONG API gateway and associated services.</t>
  </si>
  <si>
    <t>Authentication Mechanism Bypass</t>
  </si>
  <si>
    <t>Weak authentication checks might permit unauthorized users to bypass set mechanisms and gain illegitimate access.</t>
  </si>
  <si>
    <t>Insufficient Monitoring and Logging</t>
  </si>
  <si>
    <t>Without effective monitoring and logging, detection of malicious activities is delayed, providing attackers with an increased time window.</t>
  </si>
  <si>
    <t>Data Exposure through Upstream Services</t>
  </si>
  <si>
    <t>If KONG is not correctly configured, attackers might exploit this to access upstream services directly, circumventing the API gateway altogether.</t>
  </si>
  <si>
    <t>Attackers may manipulate the API responses causing KONG to cache malicious content, which is then served to other users.</t>
  </si>
  <si>
    <t>https://capec.mitre.org/data/definitions/460.html</t>
  </si>
  <si>
    <t>Dependency Exploitation</t>
  </si>
  <si>
    <t>The KONG server, if using outdated or vulnerable third-party libraries, might introduce vulnerabilities, allowing attackers to exploit these weaknesses.</t>
  </si>
  <si>
    <t>Poor input validation can allow attackers to inject malicious scripts through the API, affecting the end-users of associated web applications.</t>
  </si>
  <si>
    <t>Javascript</t>
  </si>
  <si>
    <t>Attackers may trick authenticated users into executing unwanted actions on a web application interfacing with the KONG API.</t>
  </si>
  <si>
    <t>Unpatched KONG Vulnerabilities</t>
  </si>
  <si>
    <t>Failure to regularly update and patch KONG can lead to known vulnerabilities being exploited by attackers.</t>
  </si>
  <si>
    <t>Ineffective CORS Policy</t>
  </si>
  <si>
    <t>Misconfigured CORS policies can allow unauthorized domains to make requests, potentially leading to data breaches.</t>
  </si>
  <si>
    <t>Attackers may gather information about the backend services connected through KONG, aiding them in crafting targeted attacks.</t>
  </si>
  <si>
    <t>Poorly sanitized input can allow attackers to execute unintended commands or access data without authorization.</t>
  </si>
  <si>
    <t>Unsecured Share Access</t>
  </si>
  <si>
    <t>Failure to secure NAS shares can lead to unauthorized data access or modification.</t>
  </si>
  <si>
    <t>https://capec.mitre.org/data/definitions/636.html</t>
  </si>
  <si>
    <t>NAS devices shipped with default credentials can be an easy target for unauthorized access.</t>
  </si>
  <si>
    <t>https://capec.mitre.org/data/definitions/521.html</t>
  </si>
  <si>
    <t>Firmware Vulnerabilities</t>
  </si>
  <si>
    <t>Hardware</t>
  </si>
  <si>
    <t>Outdated or vulnerable firmware can be exploited to gain unauthorized access or disrupt NAS operations.</t>
  </si>
  <si>
    <t>https://capec.mitre.org/data/definitions/585.html</t>
  </si>
  <si>
    <t>TA0042</t>
  </si>
  <si>
    <t>Attackers intercepting NAS communications can steal or manipulate data in transit.</t>
  </si>
  <si>
    <t>Exposed NAS Management Interface</t>
  </si>
  <si>
    <t>Unsecured management interfaces can be accessed remotely, allowing potential system compromise.</t>
  </si>
  <si>
    <t>Attackers can encrypt NAS-stored data, demanding payment for decryption.</t>
  </si>
  <si>
    <t>Overloading the NAS with requests, potentially causing a service interruption.</t>
  </si>
  <si>
    <t>Physical Theft</t>
  </si>
  <si>
    <t>Physical</t>
  </si>
  <si>
    <t>Unauthorized individuals might physically steal the NAS device to gain access to the stored data.</t>
  </si>
  <si>
    <t>https://capec.mitre.org/data/definitions/161.html</t>
  </si>
  <si>
    <t>Data Encrypted for Impact</t>
  </si>
  <si>
    <t>-</t>
  </si>
  <si>
    <t>Unauthorized modification of stored data which can lead to misinformation or malicious activity.</t>
  </si>
  <si>
    <t>https://capec.mitre.org/data/definitions/483.html</t>
  </si>
  <si>
    <t>T1041</t>
  </si>
  <si>
    <t>Exfiltration Over C2 Channel</t>
  </si>
  <si>
    <t>Data Exfiltration</t>
  </si>
  <si>
    <t>Attackers gain access to the NAS and illicitly transfer data out of the organization.</t>
  </si>
  <si>
    <t>Inadequate Data Encryption</t>
  </si>
  <si>
    <t>Data</t>
  </si>
  <si>
    <t>Failure to encrypt sensitive data can result in unauthorized access if the NAS is compromised.</t>
  </si>
  <si>
    <t>TA0020</t>
  </si>
  <si>
    <t>T1564.001</t>
  </si>
  <si>
    <t>Archive Collected Data</t>
  </si>
  <si>
    <t>NAS Malware Infection</t>
  </si>
  <si>
    <t>NAS devices can be infected with malware, leading to data corruption or unauthorized data access.</t>
  </si>
  <si>
    <t>Insufficient Audit Trails</t>
  </si>
  <si>
    <t>Lack of proper logging can prevent timely detection and response to malicious activities.</t>
  </si>
  <si>
    <t>Attackers might monitor traffic to and from the NAS, gathering valuable information.</t>
  </si>
  <si>
    <t>https://capec.mitre.org/data/definitions/560.html</t>
  </si>
  <si>
    <t>Session</t>
  </si>
  <si>
    <t>Attackers can intercept and use valid session tokens to impersonate a legitimate user.</t>
  </si>
  <si>
    <t>T1036</t>
  </si>
  <si>
    <t>Masquerading</t>
  </si>
  <si>
    <t>Backup Data Access</t>
  </si>
  <si>
    <t>If backup procedures are insecure, attackers might access backup data, leading to potential data breaches.</t>
  </si>
  <si>
    <t>https://capec.mitre.org/data/definitions/653.html</t>
  </si>
  <si>
    <t>Brute Force Login</t>
  </si>
  <si>
    <t>Repeated attempts to gain access by trying various password combinations.</t>
  </si>
  <si>
    <t>Exploiting vulnerabilities in the NAS software to execute arbitrary code.</t>
  </si>
  <si>
    <t>TA0009</t>
  </si>
  <si>
    <t>T1005</t>
  </si>
  <si>
    <t>Data from Local System</t>
  </si>
  <si>
    <t>Navigating to arbitrary directories on the NAS, potentially accessing restricted data.</t>
  </si>
  <si>
    <t>Phishing Attack</t>
  </si>
  <si>
    <t>Deceiving users to provide credentials or execute malicious tasks that compromise the NAS.</t>
  </si>
  <si>
    <t>T1566</t>
  </si>
  <si>
    <t>`</t>
  </si>
  <si>
    <t>Component Name</t>
  </si>
  <si>
    <t xml:space="preserve">Component Type </t>
  </si>
  <si>
    <t>Index</t>
  </si>
  <si>
    <t>WebServer</t>
  </si>
  <si>
    <t>Load Balancer</t>
  </si>
  <si>
    <t>Application Server</t>
  </si>
  <si>
    <t>Database</t>
  </si>
  <si>
    <t>Messaging Queue</t>
  </si>
  <si>
    <t>Observability</t>
  </si>
  <si>
    <t>API Gateway Server</t>
  </si>
  <si>
    <t>File System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</si>
</sst>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Calibri"/>
      <family val="2"/>
      <scheme val="minor"/>
    </font>
    <font>
      <u/>
      <sz val="11"/>
      <color theme="10"/>
      <name val="Calibri"/>
      <family val="2"/>
      <scheme val="minor"/>
    </font>
    <font>
      <b/>
      <sz val="11"/>
      <color indexed="8"/>
      <name val="Arial"/>
      <family val="2"/>
    </font>
    <font>
      <b/>
      <sz val="11"/>
      <color theme="1"/>
      <name val="Arial"/>
      <family val="2"/>
    </font>
    <font>
      <b/>
      <sz val="12"/>
      <color indexed="8"/>
      <name val="Arial"/>
      <family val="2"/>
    </font>
    <font>
      <b/>
      <sz val="12"/>
      <color theme="1"/>
      <name val="Arial"/>
      <family val="2"/>
    </font>
    <font>
      <sz val="11"/>
      <color theme="1"/>
      <name val="Arial"/>
      <family val="2"/>
    </font>
    <font>
      <sz val="12"/>
      <color theme="1"/>
      <name val="Arial"/>
      <family val="2"/>
    </font>
  </fonts>
  <fills count="3">
    <fill>
      <patternFill patternType="none"/>
    </fill>
    <fill>
      <patternFill patternType="gray125"/>
    </fill>
    <fill>
      <patternFill patternType="solid">
        <fgColor theme="4" tint="0.79998168889431442"/>
        <bgColor indexed="64"/>
      </patternFill>
    </fill>
  </fills>
  <borders count="5">
    <border>
      <left/>
      <right/>
      <top/>
      <bottom/>
      <diagonal/>
    </border>
    <border>
      <left style="thin">
        <color theme="0"/>
      </left>
      <right style="thin">
        <color theme="0"/>
      </right>
      <top style="thin">
        <color theme="0"/>
      </top>
      <bottom style="thin">
        <color theme="0"/>
      </bottom>
      <diagonal/>
    </border>
    <border>
      <left style="thin">
        <color theme="1"/>
      </left>
      <right style="thin">
        <color theme="1"/>
      </right>
      <top style="thin">
        <color theme="1"/>
      </top>
      <bottom style="thin">
        <color theme="1"/>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s>
  <cellStyleXfs count="2">
    <xf numFmtId="0" fontId="0" fillId="0" borderId="0"/>
    <xf numFmtId="0" fontId="2" fillId="0" borderId="0" applyNumberFormat="0" applyFill="0" applyBorder="0" applyAlignment="0" applyProtection="0"/>
  </cellStyleXfs>
  <cellXfs count="24">
    <xf numFmtId="0" fontId="0" fillId="0" borderId="0" xfId="0"/>
    <xf numFmtId="0" fontId="0" fillId="0" borderId="1" xfId="0" applyBorder="1"/>
    <xf numFmtId="0" fontId="1" fillId="2" borderId="2" xfId="0" applyFont="1" applyFill="1" applyBorder="1"/>
    <xf numFmtId="0" fontId="0" fillId="0" borderId="2" xfId="0" applyBorder="1"/>
    <xf numFmtId="0" fontId="3" fillId="2" borderId="0" xfId="0" applyFont="1" applyFill="1"/>
    <xf numFmtId="0" fontId="4" fillId="2" borderId="2" xfId="0" applyFont="1" applyFill="1" applyBorder="1"/>
    <xf numFmtId="0" fontId="3" fillId="2" borderId="2" xfId="0" applyFont="1" applyFill="1" applyBorder="1"/>
    <xf numFmtId="0" fontId="5" fillId="2" borderId="0" xfId="0" applyFont="1" applyFill="1"/>
    <xf numFmtId="0" fontId="6" fillId="2" borderId="2" xfId="0" applyFont="1" applyFill="1" applyBorder="1"/>
    <xf numFmtId="0" fontId="5" fillId="2" borderId="2" xfId="0" applyFont="1" applyFill="1" applyBorder="1"/>
    <xf numFmtId="0" fontId="3" fillId="2" borderId="0" xfId="0" applyFont="1" applyFill="1" applyAlignment="1">
      <alignment wrapText="1"/>
    </xf>
    <xf numFmtId="0" fontId="7" fillId="0" borderId="0" xfId="0" applyFont="1"/>
    <xf numFmtId="0" fontId="7" fillId="0" borderId="0" xfId="0" applyFont="1" applyAlignment="1">
      <alignment wrapText="1"/>
    </xf>
    <xf numFmtId="0" fontId="7" fillId="0" borderId="2" xfId="0" applyFont="1" applyBorder="1"/>
    <xf numFmtId="0" fontId="3" fillId="2" borderId="2" xfId="0" applyFont="1" applyFill="1" applyBorder="1" applyAlignment="1">
      <alignment wrapText="1"/>
    </xf>
    <xf numFmtId="0" fontId="7" fillId="0" borderId="2" xfId="0" applyFont="1" applyBorder="1" applyAlignment="1">
      <alignment wrapText="1"/>
    </xf>
    <xf numFmtId="0" fontId="8" fillId="0" borderId="0" xfId="0" applyFont="1"/>
    <xf numFmtId="0" fontId="8" fillId="0" borderId="0" xfId="0" applyFont="1" applyAlignment="1">
      <alignment wrapText="1"/>
    </xf>
    <xf numFmtId="0" fontId="8" fillId="0" borderId="2" xfId="0" applyFont="1" applyBorder="1"/>
    <xf numFmtId="0" fontId="8" fillId="0" borderId="2" xfId="0" applyFont="1" applyBorder="1" applyAlignment="1">
      <alignment wrapText="1"/>
    </xf>
    <xf numFmtId="0" fontId="0" fillId="0" borderId="3" xfId="0" applyBorder="1"/>
    <xf numFmtId="0" fontId="0" fillId="0" borderId="4" xfId="0" applyBorder="1"/>
    <xf numFmtId="0" fontId="2" fillId="0" borderId="2" xfId="1" applyBorder="1"/>
    <xf numFmtId="0" fontId="4" fillId="2" borderId="2" xfId="0" applyFont="1" applyFill="1" applyBorder="1"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5EDF1-F487-4773-A0EB-D22578190FBD}">
  <dimension ref="A1:E32"/>
  <sheetViews>
    <sheetView tabSelected="1" workbookViewId="0">
      <selection activeCell="G7" sqref="G7"/>
    </sheetView>
  </sheetViews>
  <sheetFormatPr defaultRowHeight="14.5" x14ac:dyDescent="0.35"/>
  <cols>
    <col min="1" max="1" width="8.7265625" style="1"/>
    <col min="2" max="2" width="24.08984375" style="1" bestFit="1" customWidth="1"/>
    <col min="3" max="3" width="24.08984375" style="1" customWidth="1"/>
    <col min="4" max="4" width="10.453125" style="1" bestFit="1" customWidth="1"/>
    <col min="5" max="16384" width="8.7265625" style="1"/>
  </cols>
  <sheetData>
    <row r="1" spans="1:5" x14ac:dyDescent="0.35">
      <c r="A1" s="2" t="s">
        <v>1194</v>
      </c>
      <c r="B1" s="2" t="s">
        <v>1282</v>
      </c>
      <c r="C1" s="2" t="s">
        <v>1283</v>
      </c>
      <c r="D1" s="2" t="s">
        <v>1195</v>
      </c>
      <c r="E1" s="20"/>
    </row>
    <row r="2" spans="1:5" x14ac:dyDescent="0.35">
      <c r="A2" s="3">
        <v>1</v>
      </c>
      <c r="B2" s="3" t="str" cm="1">
        <f t="array" ref="B2">INDEX(SheetList,A2)</f>
        <v>Index</v>
      </c>
      <c r="C2" s="3" t="s">
        <v>1284</v>
      </c>
      <c r="D2" s="22" t="str">
        <f>HYPERLINK("#'"&amp;B2&amp;"'!A1","Go to Sheet")</f>
        <v>Go to Sheet</v>
      </c>
      <c r="E2" s="20"/>
    </row>
    <row r="3" spans="1:5" x14ac:dyDescent="0.35">
      <c r="A3" s="3">
        <v>2</v>
      </c>
      <c r="B3" s="3" t="str" cm="1">
        <f t="array" ref="B3">INDEX(SheetList,A3)</f>
        <v>WebServer -Generic</v>
      </c>
      <c r="C3" s="3" t="s">
        <v>1285</v>
      </c>
      <c r="D3" s="22" t="str">
        <f t="shared" ref="D3:D31" si="0">HYPERLINK("#'"&amp;B3&amp;"'!A1","Go to Sheet")</f>
        <v>Go to Sheet</v>
      </c>
      <c r="E3" s="20"/>
    </row>
    <row r="4" spans="1:5" x14ac:dyDescent="0.35">
      <c r="A4" s="3">
        <v>3</v>
      </c>
      <c r="B4" s="3" t="str" cm="1">
        <f t="array" ref="B4">INDEX(SheetList,A4)</f>
        <v>IBM-Http Server</v>
      </c>
      <c r="C4" s="3" t="s">
        <v>1285</v>
      </c>
      <c r="D4" s="22" t="str">
        <f t="shared" si="0"/>
        <v>Go to Sheet</v>
      </c>
      <c r="E4" s="20"/>
    </row>
    <row r="5" spans="1:5" x14ac:dyDescent="0.35">
      <c r="A5" s="3">
        <v>4</v>
      </c>
      <c r="B5" s="3" t="str" cm="1">
        <f t="array" ref="B5">INDEX(SheetList,A5)</f>
        <v>Apache Http Server</v>
      </c>
      <c r="C5" s="3" t="s">
        <v>1285</v>
      </c>
      <c r="D5" s="22" t="str">
        <f t="shared" si="0"/>
        <v>Go to Sheet</v>
      </c>
      <c r="E5" s="20"/>
    </row>
    <row r="6" spans="1:5" x14ac:dyDescent="0.35">
      <c r="A6" s="3">
        <v>5</v>
      </c>
      <c r="B6" s="3" t="str" cm="1">
        <f t="array" ref="B6">INDEX(SheetList,A6)</f>
        <v>Load-Balancer-Generic</v>
      </c>
      <c r="C6" s="3" t="s">
        <v>1286</v>
      </c>
      <c r="D6" s="22" t="str">
        <f t="shared" si="0"/>
        <v>Go to Sheet</v>
      </c>
      <c r="E6" s="20"/>
    </row>
    <row r="7" spans="1:5" x14ac:dyDescent="0.35">
      <c r="A7" s="3">
        <v>6</v>
      </c>
      <c r="B7" s="3" t="str" cm="1">
        <f t="array" ref="B7">INDEX(SheetList,A7)</f>
        <v>F5</v>
      </c>
      <c r="C7" s="3" t="s">
        <v>1286</v>
      </c>
      <c r="D7" s="22" t="str">
        <f t="shared" si="0"/>
        <v>Go to Sheet</v>
      </c>
      <c r="E7" s="20"/>
    </row>
    <row r="8" spans="1:5" x14ac:dyDescent="0.35">
      <c r="A8" s="3">
        <v>7</v>
      </c>
      <c r="B8" s="3" t="str" cm="1">
        <f t="array" ref="B8">INDEX(SheetList,A8)</f>
        <v>Application Server - Generic</v>
      </c>
      <c r="C8" s="3" t="s">
        <v>1287</v>
      </c>
      <c r="D8" s="22" t="str">
        <f t="shared" si="0"/>
        <v>Go to Sheet</v>
      </c>
      <c r="E8" s="20"/>
    </row>
    <row r="9" spans="1:5" x14ac:dyDescent="0.35">
      <c r="A9" s="3">
        <v>8</v>
      </c>
      <c r="B9" s="3" t="str" cm="1">
        <f t="array" ref="B9">INDEX(SheetList,A9)</f>
        <v>Jboss</v>
      </c>
      <c r="C9" s="3" t="s">
        <v>1287</v>
      </c>
      <c r="D9" s="22" t="str">
        <f t="shared" si="0"/>
        <v>Go to Sheet</v>
      </c>
      <c r="E9" s="20"/>
    </row>
    <row r="10" spans="1:5" x14ac:dyDescent="0.35">
      <c r="A10" s="3">
        <v>9</v>
      </c>
      <c r="B10" s="3" t="str" cm="1">
        <f t="array" ref="B10">INDEX(SheetList,A10)</f>
        <v>Tomcat</v>
      </c>
      <c r="C10" s="3" t="s">
        <v>1287</v>
      </c>
      <c r="D10" s="22" t="str">
        <f t="shared" si="0"/>
        <v>Go to Sheet</v>
      </c>
      <c r="E10" s="20"/>
    </row>
    <row r="11" spans="1:5" x14ac:dyDescent="0.35">
      <c r="A11" s="3">
        <v>10</v>
      </c>
      <c r="B11" s="3" t="str" cm="1">
        <f t="array" ref="B11">INDEX(SheetList,A11)</f>
        <v>WebSphere</v>
      </c>
      <c r="C11" s="3" t="s">
        <v>1287</v>
      </c>
      <c r="D11" s="22" t="str">
        <f t="shared" si="0"/>
        <v>Go to Sheet</v>
      </c>
      <c r="E11" s="20"/>
    </row>
    <row r="12" spans="1:5" x14ac:dyDescent="0.35">
      <c r="A12" s="3">
        <v>11</v>
      </c>
      <c r="B12" s="3" t="str" cm="1">
        <f t="array" ref="B12">INDEX(SheetList,A12)</f>
        <v>Database - Generic</v>
      </c>
      <c r="C12" s="3" t="s">
        <v>1288</v>
      </c>
      <c r="D12" s="22" t="str">
        <f t="shared" si="0"/>
        <v>Go to Sheet</v>
      </c>
      <c r="E12" s="20"/>
    </row>
    <row r="13" spans="1:5" x14ac:dyDescent="0.35">
      <c r="A13" s="3">
        <v>12</v>
      </c>
      <c r="B13" s="3" t="str" cm="1">
        <f t="array" ref="B13">INDEX(SheetList,A13)</f>
        <v>Postgres</v>
      </c>
      <c r="C13" s="3" t="s">
        <v>1288</v>
      </c>
      <c r="D13" s="22" t="str">
        <f t="shared" si="0"/>
        <v>Go to Sheet</v>
      </c>
      <c r="E13" s="20"/>
    </row>
    <row r="14" spans="1:5" x14ac:dyDescent="0.35">
      <c r="A14" s="3">
        <v>13</v>
      </c>
      <c r="B14" s="3" t="str" cm="1">
        <f t="array" ref="B14">INDEX(SheetList,A14)</f>
        <v>DB2</v>
      </c>
      <c r="C14" s="3" t="s">
        <v>1288</v>
      </c>
      <c r="D14" s="22" t="str">
        <f t="shared" si="0"/>
        <v>Go to Sheet</v>
      </c>
      <c r="E14" s="20"/>
    </row>
    <row r="15" spans="1:5" x14ac:dyDescent="0.35">
      <c r="A15" s="3">
        <v>14</v>
      </c>
      <c r="B15" s="3" t="str" cm="1">
        <f t="array" ref="B15">INDEX(SheetList,A15)</f>
        <v>Oracle</v>
      </c>
      <c r="C15" s="3" t="s">
        <v>1288</v>
      </c>
      <c r="D15" s="22" t="str">
        <f t="shared" si="0"/>
        <v>Go to Sheet</v>
      </c>
      <c r="E15" s="20"/>
    </row>
    <row r="16" spans="1:5" x14ac:dyDescent="0.35">
      <c r="A16" s="3">
        <v>15</v>
      </c>
      <c r="B16" s="3" t="str" cm="1">
        <f t="array" ref="B16">INDEX(SheetList,A16)</f>
        <v>Cassandra</v>
      </c>
      <c r="C16" s="3" t="s">
        <v>1288</v>
      </c>
      <c r="D16" s="22" t="str">
        <f t="shared" si="0"/>
        <v>Go to Sheet</v>
      </c>
      <c r="E16" s="20"/>
    </row>
    <row r="17" spans="1:5" x14ac:dyDescent="0.35">
      <c r="A17" s="3">
        <v>16</v>
      </c>
      <c r="B17" s="3" t="str" cm="1">
        <f t="array" ref="B17">INDEX(SheetList,A17)</f>
        <v>Redis</v>
      </c>
      <c r="C17" s="3" t="s">
        <v>1288</v>
      </c>
      <c r="D17" s="22" t="str">
        <f t="shared" si="0"/>
        <v>Go to Sheet</v>
      </c>
      <c r="E17" s="20"/>
    </row>
    <row r="18" spans="1:5" x14ac:dyDescent="0.35">
      <c r="A18" s="3">
        <v>17</v>
      </c>
      <c r="B18" s="3" t="str" cm="1">
        <f t="array" ref="B18">INDEX(SheetList,A18)</f>
        <v>Hazelcast</v>
      </c>
      <c r="C18" s="3" t="s">
        <v>1288</v>
      </c>
      <c r="D18" s="22" t="str">
        <f t="shared" si="0"/>
        <v>Go to Sheet</v>
      </c>
      <c r="E18" s="20"/>
    </row>
    <row r="19" spans="1:5" x14ac:dyDescent="0.35">
      <c r="A19" s="3">
        <v>18</v>
      </c>
      <c r="B19" s="3" t="str" cm="1">
        <f t="array" ref="B19">INDEX(SheetList,A19)</f>
        <v>Mango DB</v>
      </c>
      <c r="C19" s="3" t="s">
        <v>1288</v>
      </c>
      <c r="D19" s="22" t="str">
        <f t="shared" si="0"/>
        <v>Go to Sheet</v>
      </c>
      <c r="E19" s="20"/>
    </row>
    <row r="20" spans="1:5" x14ac:dyDescent="0.35">
      <c r="A20" s="3">
        <v>19</v>
      </c>
      <c r="B20" s="3" t="str" cm="1">
        <f t="array" ref="B20">INDEX(SheetList,A20)</f>
        <v>Messaging Queue - Generic</v>
      </c>
      <c r="C20" s="3" t="s">
        <v>1289</v>
      </c>
      <c r="D20" s="22" t="str">
        <f t="shared" si="0"/>
        <v>Go to Sheet</v>
      </c>
      <c r="E20" s="20"/>
    </row>
    <row r="21" spans="1:5" x14ac:dyDescent="0.35">
      <c r="A21" s="3">
        <v>20</v>
      </c>
      <c r="B21" s="3" t="str" cm="1">
        <f t="array" ref="B21">INDEX(SheetList,A21)</f>
        <v>IBM MQ</v>
      </c>
      <c r="C21" s="3" t="s">
        <v>1289</v>
      </c>
      <c r="D21" s="22" t="str">
        <f t="shared" si="0"/>
        <v>Go to Sheet</v>
      </c>
      <c r="E21" s="20"/>
    </row>
    <row r="22" spans="1:5" x14ac:dyDescent="0.35">
      <c r="A22" s="3">
        <v>21</v>
      </c>
      <c r="B22" s="3" t="str" cm="1">
        <f t="array" ref="B22">INDEX(SheetList,A22)</f>
        <v>Solace</v>
      </c>
      <c r="C22" s="3" t="s">
        <v>1289</v>
      </c>
      <c r="D22" s="22" t="str">
        <f t="shared" si="0"/>
        <v>Go to Sheet</v>
      </c>
      <c r="E22" s="20"/>
    </row>
    <row r="23" spans="1:5" x14ac:dyDescent="0.35">
      <c r="A23" s="3">
        <v>22</v>
      </c>
      <c r="B23" s="3" t="str" cm="1">
        <f t="array" ref="B23">INDEX(SheetList,A23)</f>
        <v>Kafka</v>
      </c>
      <c r="C23" s="3" t="s">
        <v>1289</v>
      </c>
      <c r="D23" s="22" t="str">
        <f t="shared" si="0"/>
        <v>Go to Sheet</v>
      </c>
      <c r="E23" s="20"/>
    </row>
    <row r="24" spans="1:5" x14ac:dyDescent="0.35">
      <c r="A24" s="3">
        <v>23</v>
      </c>
      <c r="B24" s="3" t="str" cm="1">
        <f t="array" ref="B24">INDEX(SheetList,A24)</f>
        <v>ElasticSearch</v>
      </c>
      <c r="C24" s="3" t="s">
        <v>1290</v>
      </c>
      <c r="D24" s="22" t="str">
        <f t="shared" si="0"/>
        <v>Go to Sheet</v>
      </c>
      <c r="E24" s="20"/>
    </row>
    <row r="25" spans="1:5" x14ac:dyDescent="0.35">
      <c r="A25" s="3">
        <v>24</v>
      </c>
      <c r="B25" s="3" t="str" cm="1">
        <f t="array" ref="B25">INDEX(SheetList,A25)</f>
        <v>Kibana</v>
      </c>
      <c r="C25" s="3" t="s">
        <v>1290</v>
      </c>
      <c r="D25" s="22" t="str">
        <f t="shared" si="0"/>
        <v>Go to Sheet</v>
      </c>
      <c r="E25" s="20"/>
    </row>
    <row r="26" spans="1:5" x14ac:dyDescent="0.35">
      <c r="A26" s="3">
        <v>25</v>
      </c>
      <c r="B26" s="3" t="str" cm="1">
        <f t="array" ref="B26">INDEX(SheetList,A26)</f>
        <v>Logstash</v>
      </c>
      <c r="C26" s="3" t="s">
        <v>1290</v>
      </c>
      <c r="D26" s="22" t="str">
        <f t="shared" si="0"/>
        <v>Go to Sheet</v>
      </c>
      <c r="E26" s="20"/>
    </row>
    <row r="27" spans="1:5" x14ac:dyDescent="0.35">
      <c r="A27" s="3">
        <v>26</v>
      </c>
      <c r="B27" s="3" t="str" cm="1">
        <f t="array" ref="B27">INDEX(SheetList,A27)</f>
        <v>API Gateway Server Threats</v>
      </c>
      <c r="C27" s="3" t="s">
        <v>1291</v>
      </c>
      <c r="D27" s="22" t="str">
        <f t="shared" si="0"/>
        <v>Go to Sheet</v>
      </c>
      <c r="E27" s="20"/>
    </row>
    <row r="28" spans="1:5" x14ac:dyDescent="0.35">
      <c r="A28" s="3">
        <v>27</v>
      </c>
      <c r="B28" s="3" t="str" cm="1">
        <f t="array" ref="B28">INDEX(SheetList,A28)</f>
        <v>NGINX-Server</v>
      </c>
      <c r="C28" s="3" t="s">
        <v>1291</v>
      </c>
      <c r="D28" s="22" t="str">
        <f t="shared" si="0"/>
        <v>Go to Sheet</v>
      </c>
      <c r="E28" s="20"/>
    </row>
    <row r="29" spans="1:5" x14ac:dyDescent="0.35">
      <c r="A29" s="3">
        <v>28</v>
      </c>
      <c r="B29" s="3" t="str" cm="1">
        <f t="array" ref="B29">INDEX(SheetList,A29)</f>
        <v>Kong API Server</v>
      </c>
      <c r="C29" s="3" t="s">
        <v>1291</v>
      </c>
      <c r="D29" s="22" t="str">
        <f t="shared" si="0"/>
        <v>Go to Sheet</v>
      </c>
      <c r="E29" s="20"/>
    </row>
    <row r="30" spans="1:5" x14ac:dyDescent="0.35">
      <c r="A30" s="3">
        <v>29</v>
      </c>
      <c r="B30" s="3" t="str" cm="1">
        <f t="array" ref="B30">INDEX(SheetList,A30)</f>
        <v>FileSystem - Generic</v>
      </c>
      <c r="C30" s="3" t="s">
        <v>1292</v>
      </c>
      <c r="D30" s="22" t="str">
        <f t="shared" si="0"/>
        <v>Go to Sheet</v>
      </c>
      <c r="E30" s="20"/>
    </row>
    <row r="31" spans="1:5" x14ac:dyDescent="0.35">
      <c r="A31" s="3">
        <v>30</v>
      </c>
      <c r="B31" s="3" t="str" cm="1">
        <f t="array" ref="B31">INDEX(SheetList,A31)</f>
        <v>NAS</v>
      </c>
      <c r="C31" s="3" t="s">
        <v>1292</v>
      </c>
      <c r="D31" s="22" t="str">
        <f t="shared" si="0"/>
        <v>Go to Sheet</v>
      </c>
      <c r="E31" s="20"/>
    </row>
    <row r="32" spans="1:5" x14ac:dyDescent="0.35">
      <c r="A32" s="21"/>
      <c r="B32" s="21"/>
      <c r="C32" s="21"/>
      <c r="D32" s="2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FB7FC-EE77-492F-A9BD-59A2A612921D}">
  <dimension ref="A1:J16"/>
  <sheetViews>
    <sheetView workbookViewId="0">
      <selection activeCell="C17" sqref="C17"/>
    </sheetView>
  </sheetViews>
  <sheetFormatPr defaultRowHeight="15.5" x14ac:dyDescent="0.35"/>
  <cols>
    <col min="1" max="1" width="32.90625" style="16" bestFit="1" customWidth="1"/>
    <col min="2" max="2" width="38" style="16" bestFit="1" customWidth="1"/>
    <col min="3" max="3" width="68.6328125" style="17" bestFit="1" customWidth="1"/>
    <col min="4" max="4" width="10.26953125" style="16" bestFit="1" customWidth="1"/>
    <col min="5" max="5" width="42.7265625" style="16" bestFit="1" customWidth="1"/>
    <col min="6" max="6" width="8" style="16" bestFit="1" customWidth="1"/>
    <col min="7" max="7" width="15.81640625" style="16" bestFit="1" customWidth="1"/>
    <col min="8" max="8" width="20" style="16" bestFit="1" customWidth="1"/>
    <col min="9" max="16384" width="8.7265625" style="16"/>
  </cols>
  <sheetData>
    <row r="1" spans="1:10" x14ac:dyDescent="0.35">
      <c r="A1" s="4" t="s">
        <v>0</v>
      </c>
      <c r="B1" s="4" t="s">
        <v>1</v>
      </c>
      <c r="C1" s="10" t="s">
        <v>2</v>
      </c>
      <c r="D1" s="4" t="s">
        <v>3</v>
      </c>
      <c r="E1" s="4" t="s">
        <v>4</v>
      </c>
      <c r="F1" s="4" t="s">
        <v>5</v>
      </c>
      <c r="G1" s="4" t="s">
        <v>6</v>
      </c>
      <c r="H1" s="4" t="s">
        <v>7</v>
      </c>
      <c r="I1" s="7"/>
      <c r="J1" s="7"/>
    </row>
    <row r="2" spans="1:10" ht="70.5" x14ac:dyDescent="0.35">
      <c r="A2" s="11" t="s">
        <v>8</v>
      </c>
      <c r="B2" s="11" t="s">
        <v>9</v>
      </c>
      <c r="C2" s="12" t="s">
        <v>78</v>
      </c>
      <c r="D2" s="11">
        <v>66</v>
      </c>
      <c r="E2" s="11" t="s">
        <v>10</v>
      </c>
      <c r="F2" s="11">
        <v>89</v>
      </c>
      <c r="G2" s="11" t="s">
        <v>11</v>
      </c>
      <c r="H2" s="11" t="s">
        <v>12</v>
      </c>
    </row>
    <row r="3" spans="1:10" ht="56.5" x14ac:dyDescent="0.35">
      <c r="A3" s="11" t="s">
        <v>13</v>
      </c>
      <c r="B3" s="11" t="s">
        <v>14</v>
      </c>
      <c r="C3" s="12" t="s">
        <v>79</v>
      </c>
      <c r="D3" s="11">
        <v>79</v>
      </c>
      <c r="E3" s="11" t="s">
        <v>71</v>
      </c>
      <c r="F3" s="11">
        <v>79</v>
      </c>
      <c r="G3" s="11" t="s">
        <v>16</v>
      </c>
      <c r="H3" s="11" t="s">
        <v>17</v>
      </c>
    </row>
    <row r="4" spans="1:10" ht="42.5" x14ac:dyDescent="0.35">
      <c r="A4" s="11" t="s">
        <v>18</v>
      </c>
      <c r="B4" s="11" t="s">
        <v>19</v>
      </c>
      <c r="C4" s="12" t="s">
        <v>80</v>
      </c>
      <c r="D4" s="11">
        <v>126</v>
      </c>
      <c r="E4" s="11" t="s">
        <v>72</v>
      </c>
      <c r="F4" s="11">
        <v>22</v>
      </c>
      <c r="G4" s="11" t="s">
        <v>16</v>
      </c>
      <c r="H4" s="11" t="s">
        <v>21</v>
      </c>
    </row>
    <row r="5" spans="1:10" ht="42.5" x14ac:dyDescent="0.35">
      <c r="A5" s="11" t="s">
        <v>22</v>
      </c>
      <c r="B5" s="11" t="s">
        <v>23</v>
      </c>
      <c r="C5" s="12" t="s">
        <v>81</v>
      </c>
      <c r="D5" s="11">
        <v>486</v>
      </c>
      <c r="E5" s="11" t="s">
        <v>73</v>
      </c>
      <c r="F5" s="11">
        <v>770</v>
      </c>
      <c r="G5" s="11" t="s">
        <v>25</v>
      </c>
      <c r="H5" s="11" t="s">
        <v>26</v>
      </c>
    </row>
    <row r="6" spans="1:10" ht="42.5" x14ac:dyDescent="0.35">
      <c r="A6" s="11" t="s">
        <v>27</v>
      </c>
      <c r="B6" s="11" t="s">
        <v>28</v>
      </c>
      <c r="C6" s="12" t="s">
        <v>82</v>
      </c>
      <c r="D6" s="11">
        <v>310</v>
      </c>
      <c r="E6" s="11" t="s">
        <v>29</v>
      </c>
      <c r="F6" s="11">
        <v>16</v>
      </c>
      <c r="G6" s="11" t="s">
        <v>16</v>
      </c>
      <c r="H6" s="11" t="s">
        <v>30</v>
      </c>
    </row>
    <row r="7" spans="1:10" ht="42.5" x14ac:dyDescent="0.35">
      <c r="A7" s="11" t="s">
        <v>31</v>
      </c>
      <c r="B7" s="11" t="s">
        <v>32</v>
      </c>
      <c r="C7" s="12" t="s">
        <v>83</v>
      </c>
      <c r="D7" s="11">
        <v>193</v>
      </c>
      <c r="E7" s="11" t="s">
        <v>84</v>
      </c>
      <c r="F7" s="11">
        <v>98</v>
      </c>
      <c r="G7" s="11" t="s">
        <v>16</v>
      </c>
      <c r="H7" s="11" t="s">
        <v>34</v>
      </c>
    </row>
    <row r="8" spans="1:10" ht="42.5" x14ac:dyDescent="0.35">
      <c r="A8" s="11" t="s">
        <v>35</v>
      </c>
      <c r="B8" s="11" t="s">
        <v>36</v>
      </c>
      <c r="C8" s="12" t="s">
        <v>85</v>
      </c>
      <c r="D8" s="11">
        <v>62</v>
      </c>
      <c r="E8" s="11" t="s">
        <v>37</v>
      </c>
      <c r="F8" s="11">
        <v>352</v>
      </c>
      <c r="G8" s="11" t="s">
        <v>38</v>
      </c>
      <c r="H8" s="11" t="s">
        <v>39</v>
      </c>
    </row>
    <row r="9" spans="1:10" ht="42.5" x14ac:dyDescent="0.35">
      <c r="A9" s="11" t="s">
        <v>40</v>
      </c>
      <c r="B9" s="11" t="s">
        <v>41</v>
      </c>
      <c r="C9" s="12" t="s">
        <v>86</v>
      </c>
      <c r="D9" s="11">
        <v>384</v>
      </c>
      <c r="E9" s="11" t="s">
        <v>75</v>
      </c>
      <c r="F9" s="11">
        <v>384</v>
      </c>
      <c r="G9" s="11" t="s">
        <v>16</v>
      </c>
      <c r="H9" s="11" t="s">
        <v>43</v>
      </c>
    </row>
    <row r="10" spans="1:10" ht="42.5" x14ac:dyDescent="0.35">
      <c r="A10" s="11" t="s">
        <v>87</v>
      </c>
      <c r="B10" s="11" t="s">
        <v>44</v>
      </c>
      <c r="C10" s="12" t="s">
        <v>88</v>
      </c>
      <c r="D10" s="11">
        <v>601</v>
      </c>
      <c r="E10" s="11" t="s">
        <v>45</v>
      </c>
      <c r="F10" s="11">
        <v>601</v>
      </c>
      <c r="G10" s="11" t="s">
        <v>16</v>
      </c>
      <c r="H10" s="11" t="s">
        <v>46</v>
      </c>
    </row>
    <row r="11" spans="1:10" ht="42.5" x14ac:dyDescent="0.35">
      <c r="A11" s="11" t="s">
        <v>47</v>
      </c>
      <c r="B11" s="11" t="s">
        <v>48</v>
      </c>
      <c r="C11" s="12" t="s">
        <v>89</v>
      </c>
      <c r="D11" s="11">
        <v>538</v>
      </c>
      <c r="E11" s="11" t="s">
        <v>76</v>
      </c>
      <c r="F11" s="11">
        <v>200</v>
      </c>
      <c r="G11" s="11" t="s">
        <v>11</v>
      </c>
      <c r="H11" s="11" t="s">
        <v>50</v>
      </c>
    </row>
    <row r="12" spans="1:10" ht="42.5" x14ac:dyDescent="0.35">
      <c r="A12" s="11" t="s">
        <v>51</v>
      </c>
      <c r="B12" s="11" t="s">
        <v>52</v>
      </c>
      <c r="C12" s="12" t="s">
        <v>90</v>
      </c>
      <c r="D12" s="11">
        <v>611</v>
      </c>
      <c r="E12" s="11" t="s">
        <v>53</v>
      </c>
      <c r="F12" s="11">
        <v>611</v>
      </c>
      <c r="G12" s="11" t="s">
        <v>11</v>
      </c>
      <c r="H12" s="11" t="s">
        <v>54</v>
      </c>
    </row>
    <row r="13" spans="1:10" ht="42.5" x14ac:dyDescent="0.35">
      <c r="A13" s="11" t="s">
        <v>55</v>
      </c>
      <c r="B13" s="11" t="s">
        <v>56</v>
      </c>
      <c r="C13" s="12" t="s">
        <v>91</v>
      </c>
      <c r="D13" s="11">
        <v>94</v>
      </c>
      <c r="E13" s="11" t="s">
        <v>57</v>
      </c>
      <c r="F13" s="11">
        <v>300</v>
      </c>
      <c r="G13" s="11" t="s">
        <v>58</v>
      </c>
      <c r="H13" s="11" t="s">
        <v>59</v>
      </c>
    </row>
    <row r="14" spans="1:10" ht="42.5" x14ac:dyDescent="0.35">
      <c r="A14" s="11" t="s">
        <v>60</v>
      </c>
      <c r="B14" s="11" t="s">
        <v>61</v>
      </c>
      <c r="C14" s="12" t="s">
        <v>92</v>
      </c>
      <c r="D14" s="11">
        <v>502</v>
      </c>
      <c r="E14" s="11" t="s">
        <v>62</v>
      </c>
      <c r="F14" s="11">
        <v>502</v>
      </c>
      <c r="G14" s="11" t="s">
        <v>16</v>
      </c>
      <c r="H14" s="11" t="s">
        <v>63</v>
      </c>
    </row>
    <row r="15" spans="1:10" ht="42.5" x14ac:dyDescent="0.35">
      <c r="A15" s="11" t="s">
        <v>64</v>
      </c>
      <c r="B15" s="11" t="s">
        <v>65</v>
      </c>
      <c r="C15" s="12" t="s">
        <v>93</v>
      </c>
      <c r="D15" s="11">
        <v>287</v>
      </c>
      <c r="E15" s="11" t="s">
        <v>66</v>
      </c>
      <c r="F15" s="11">
        <v>287</v>
      </c>
      <c r="G15" s="11" t="s">
        <v>16</v>
      </c>
      <c r="H15" s="11" t="s">
        <v>67</v>
      </c>
    </row>
    <row r="16" spans="1:10" ht="42.5" x14ac:dyDescent="0.35">
      <c r="A16" s="11" t="s">
        <v>68</v>
      </c>
      <c r="B16" s="11" t="s">
        <v>69</v>
      </c>
      <c r="C16" s="12" t="s">
        <v>94</v>
      </c>
      <c r="D16" s="11">
        <v>212</v>
      </c>
      <c r="E16" s="11" t="s">
        <v>95</v>
      </c>
      <c r="F16" s="11">
        <v>212</v>
      </c>
      <c r="G16" s="11" t="s">
        <v>16</v>
      </c>
      <c r="H16" s="11" t="s">
        <v>30</v>
      </c>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E09D9-3580-478A-97DC-042D444E40F4}">
  <dimension ref="A1:N17"/>
  <sheetViews>
    <sheetView workbookViewId="0">
      <selection activeCell="C17" sqref="C17"/>
    </sheetView>
  </sheetViews>
  <sheetFormatPr defaultRowHeight="15.5" x14ac:dyDescent="0.35"/>
  <cols>
    <col min="1" max="1" width="41.08984375" style="16" bestFit="1" customWidth="1"/>
    <col min="2" max="2" width="14.453125" style="16" bestFit="1" customWidth="1"/>
    <col min="3" max="3" width="99.81640625" style="17" bestFit="1" customWidth="1"/>
    <col min="4" max="4" width="10.26953125" style="16" bestFit="1" customWidth="1"/>
    <col min="5" max="5" width="48.26953125" style="16" bestFit="1" customWidth="1"/>
    <col min="6" max="6" width="8" style="16" bestFit="1" customWidth="1"/>
    <col min="7" max="7" width="15.81640625" style="16" bestFit="1" customWidth="1"/>
    <col min="8" max="8" width="24.6328125" style="16" bestFit="1" customWidth="1"/>
    <col min="9" max="9" width="22.6328125" style="16" bestFit="1" customWidth="1"/>
    <col min="10" max="10" width="61.7265625" style="16" bestFit="1" customWidth="1"/>
    <col min="11" max="11" width="9.36328125" style="16" bestFit="1" customWidth="1"/>
    <col min="12" max="12" width="12.08984375" style="16" bestFit="1" customWidth="1"/>
    <col min="13" max="13" width="38.6328125" style="16" bestFit="1" customWidth="1"/>
    <col min="14" max="14" width="37.1796875" style="16" bestFit="1" customWidth="1"/>
    <col min="15" max="16384" width="8.7265625" style="16"/>
  </cols>
  <sheetData>
    <row r="1" spans="1:14" x14ac:dyDescent="0.35">
      <c r="A1" s="6" t="s">
        <v>0</v>
      </c>
      <c r="B1" s="6" t="s">
        <v>567</v>
      </c>
      <c r="C1" s="14" t="s">
        <v>2</v>
      </c>
      <c r="D1" s="6" t="s">
        <v>3</v>
      </c>
      <c r="E1" s="6" t="s">
        <v>4</v>
      </c>
      <c r="F1" s="6" t="s">
        <v>5</v>
      </c>
      <c r="G1" s="6" t="s">
        <v>6</v>
      </c>
      <c r="H1" s="6" t="s">
        <v>598</v>
      </c>
      <c r="I1" s="9" t="s">
        <v>7</v>
      </c>
      <c r="J1" s="9" t="s">
        <v>599</v>
      </c>
      <c r="K1" s="8" t="s">
        <v>240</v>
      </c>
      <c r="L1" s="8" t="s">
        <v>241</v>
      </c>
      <c r="M1" s="8" t="s">
        <v>579</v>
      </c>
      <c r="N1" s="8" t="s">
        <v>580</v>
      </c>
    </row>
    <row r="2" spans="1:14" ht="42.5" x14ac:dyDescent="0.35">
      <c r="A2" s="13" t="s">
        <v>812</v>
      </c>
      <c r="B2" s="13" t="s">
        <v>568</v>
      </c>
      <c r="C2" s="15" t="s">
        <v>813</v>
      </c>
      <c r="D2" s="13">
        <v>112</v>
      </c>
      <c r="E2" s="13" t="s">
        <v>569</v>
      </c>
      <c r="F2" s="13">
        <v>16</v>
      </c>
      <c r="G2" s="13" t="s">
        <v>11</v>
      </c>
      <c r="H2" s="13" t="s">
        <v>600</v>
      </c>
      <c r="I2" s="18" t="s">
        <v>247</v>
      </c>
      <c r="J2" s="18" t="s">
        <v>601</v>
      </c>
      <c r="K2" s="18" t="s">
        <v>242</v>
      </c>
      <c r="L2" s="18" t="s">
        <v>253</v>
      </c>
      <c r="M2" s="18" t="s">
        <v>618</v>
      </c>
      <c r="N2" s="18" t="s">
        <v>591</v>
      </c>
    </row>
    <row r="3" spans="1:14" ht="42.5" x14ac:dyDescent="0.35">
      <c r="A3" s="13" t="s">
        <v>814</v>
      </c>
      <c r="B3" s="13" t="s">
        <v>568</v>
      </c>
      <c r="C3" s="15" t="s">
        <v>815</v>
      </c>
      <c r="D3" s="13">
        <v>139</v>
      </c>
      <c r="E3" s="13" t="s">
        <v>20</v>
      </c>
      <c r="F3" s="13">
        <v>22</v>
      </c>
      <c r="G3" s="13" t="s">
        <v>118</v>
      </c>
      <c r="H3" s="13" t="s">
        <v>602</v>
      </c>
      <c r="I3" s="18" t="s">
        <v>576</v>
      </c>
      <c r="J3" s="18" t="s">
        <v>610</v>
      </c>
      <c r="K3" s="18" t="s">
        <v>253</v>
      </c>
      <c r="L3" s="18" t="s">
        <v>253</v>
      </c>
      <c r="M3" s="18" t="s">
        <v>584</v>
      </c>
      <c r="N3" s="18" t="s">
        <v>586</v>
      </c>
    </row>
    <row r="4" spans="1:14" ht="42.5" x14ac:dyDescent="0.35">
      <c r="A4" s="13" t="s">
        <v>816</v>
      </c>
      <c r="B4" s="13" t="s">
        <v>583</v>
      </c>
      <c r="C4" s="15" t="s">
        <v>817</v>
      </c>
      <c r="D4" s="13">
        <v>100</v>
      </c>
      <c r="E4" s="13" t="s">
        <v>182</v>
      </c>
      <c r="F4" s="13">
        <v>120</v>
      </c>
      <c r="G4" s="13" t="s">
        <v>25</v>
      </c>
      <c r="H4" s="13" t="s">
        <v>606</v>
      </c>
      <c r="I4" s="18" t="s">
        <v>26</v>
      </c>
      <c r="J4" s="18" t="s">
        <v>607</v>
      </c>
      <c r="K4" s="18" t="s">
        <v>242</v>
      </c>
      <c r="L4" s="18" t="s">
        <v>253</v>
      </c>
      <c r="M4" s="18" t="s">
        <v>627</v>
      </c>
      <c r="N4" s="18" t="s">
        <v>585</v>
      </c>
    </row>
    <row r="5" spans="1:14" ht="28.5" x14ac:dyDescent="0.35">
      <c r="A5" s="13" t="s">
        <v>818</v>
      </c>
      <c r="B5" s="13" t="s">
        <v>573</v>
      </c>
      <c r="C5" s="15" t="s">
        <v>819</v>
      </c>
      <c r="D5" s="13">
        <v>409</v>
      </c>
      <c r="E5" s="13" t="s">
        <v>578</v>
      </c>
      <c r="F5" s="13">
        <v>400</v>
      </c>
      <c r="G5" s="13" t="s">
        <v>25</v>
      </c>
      <c r="H5" s="13" t="s">
        <v>606</v>
      </c>
      <c r="I5" s="18" t="s">
        <v>26</v>
      </c>
      <c r="J5" s="18" t="s">
        <v>607</v>
      </c>
      <c r="K5" s="18" t="s">
        <v>242</v>
      </c>
      <c r="L5" s="18" t="s">
        <v>253</v>
      </c>
      <c r="M5" s="18" t="s">
        <v>587</v>
      </c>
      <c r="N5" s="18" t="s">
        <v>591</v>
      </c>
    </row>
    <row r="6" spans="1:14" ht="28.5" x14ac:dyDescent="0.35">
      <c r="A6" s="13" t="s">
        <v>820</v>
      </c>
      <c r="B6" s="13" t="s">
        <v>583</v>
      </c>
      <c r="C6" s="15" t="s">
        <v>821</v>
      </c>
      <c r="D6" s="13">
        <v>113</v>
      </c>
      <c r="E6" s="13" t="s">
        <v>626</v>
      </c>
      <c r="F6" s="13">
        <v>113</v>
      </c>
      <c r="G6" s="13" t="s">
        <v>118</v>
      </c>
      <c r="H6" s="13" t="s">
        <v>602</v>
      </c>
      <c r="I6" s="18" t="s">
        <v>379</v>
      </c>
      <c r="J6" s="18" t="s">
        <v>1281</v>
      </c>
      <c r="K6" s="18" t="s">
        <v>253</v>
      </c>
      <c r="L6" s="18" t="s">
        <v>260</v>
      </c>
      <c r="M6" s="18" t="s">
        <v>654</v>
      </c>
      <c r="N6" s="18" t="s">
        <v>585</v>
      </c>
    </row>
    <row r="7" spans="1:14" ht="28.5" x14ac:dyDescent="0.35">
      <c r="A7" s="13" t="s">
        <v>822</v>
      </c>
      <c r="B7" s="13" t="s">
        <v>583</v>
      </c>
      <c r="C7" s="15" t="s">
        <v>823</v>
      </c>
      <c r="D7" s="13">
        <v>532</v>
      </c>
      <c r="E7" s="13" t="s">
        <v>271</v>
      </c>
      <c r="F7" s="13">
        <v>532</v>
      </c>
      <c r="G7" s="13" t="s">
        <v>118</v>
      </c>
      <c r="H7" s="13" t="s">
        <v>602</v>
      </c>
      <c r="I7" s="18" t="s">
        <v>379</v>
      </c>
      <c r="J7" s="18" t="s">
        <v>712</v>
      </c>
      <c r="K7" s="18" t="s">
        <v>260</v>
      </c>
      <c r="L7" s="18" t="s">
        <v>253</v>
      </c>
      <c r="M7" s="18" t="s">
        <v>584</v>
      </c>
      <c r="N7" s="18" t="s">
        <v>586</v>
      </c>
    </row>
    <row r="8" spans="1:14" ht="28.5" x14ac:dyDescent="0.35">
      <c r="A8" s="13" t="s">
        <v>824</v>
      </c>
      <c r="B8" s="13" t="s">
        <v>583</v>
      </c>
      <c r="C8" s="15" t="s">
        <v>825</v>
      </c>
      <c r="D8" s="13">
        <v>664</v>
      </c>
      <c r="E8" s="13" t="s">
        <v>175</v>
      </c>
      <c r="F8" s="13">
        <v>918</v>
      </c>
      <c r="G8" s="13" t="s">
        <v>118</v>
      </c>
      <c r="H8" s="13" t="s">
        <v>602</v>
      </c>
      <c r="I8" s="18" t="s">
        <v>576</v>
      </c>
      <c r="J8" s="18" t="s">
        <v>610</v>
      </c>
      <c r="K8" s="18" t="s">
        <v>242</v>
      </c>
      <c r="L8" s="18" t="s">
        <v>253</v>
      </c>
      <c r="M8" s="18"/>
      <c r="N8" s="18" t="s">
        <v>586</v>
      </c>
    </row>
    <row r="9" spans="1:14" ht="28.5" x14ac:dyDescent="0.35">
      <c r="A9" s="13" t="s">
        <v>826</v>
      </c>
      <c r="B9" s="13" t="s">
        <v>568</v>
      </c>
      <c r="C9" s="15" t="s">
        <v>827</v>
      </c>
      <c r="D9" s="13">
        <v>346</v>
      </c>
      <c r="E9" s="13" t="s">
        <v>74</v>
      </c>
      <c r="F9" s="13">
        <v>16</v>
      </c>
      <c r="G9" s="13" t="s">
        <v>118</v>
      </c>
      <c r="H9" s="13" t="s">
        <v>602</v>
      </c>
      <c r="I9" s="18" t="s">
        <v>379</v>
      </c>
      <c r="J9" s="18" t="s">
        <v>712</v>
      </c>
      <c r="K9" s="18" t="s">
        <v>253</v>
      </c>
      <c r="L9" s="18" t="s">
        <v>253</v>
      </c>
      <c r="M9" s="18" t="s">
        <v>588</v>
      </c>
      <c r="N9" s="18" t="s">
        <v>591</v>
      </c>
    </row>
    <row r="10" spans="1:14" ht="42.5" x14ac:dyDescent="0.35">
      <c r="A10" s="13" t="s">
        <v>828</v>
      </c>
      <c r="B10" s="13" t="s">
        <v>583</v>
      </c>
      <c r="C10" s="15" t="s">
        <v>829</v>
      </c>
      <c r="D10" s="13">
        <v>88</v>
      </c>
      <c r="E10" s="13" t="s">
        <v>224</v>
      </c>
      <c r="F10" s="13">
        <v>78</v>
      </c>
      <c r="G10" s="13" t="s">
        <v>103</v>
      </c>
      <c r="H10" s="13" t="s">
        <v>612</v>
      </c>
      <c r="I10" s="18" t="s">
        <v>785</v>
      </c>
      <c r="J10" s="18" t="s">
        <v>786</v>
      </c>
      <c r="K10" s="18" t="s">
        <v>242</v>
      </c>
      <c r="L10" s="18" t="s">
        <v>242</v>
      </c>
      <c r="M10" s="18" t="s">
        <v>627</v>
      </c>
      <c r="N10" s="18" t="s">
        <v>585</v>
      </c>
    </row>
    <row r="11" spans="1:14" ht="28.5" x14ac:dyDescent="0.35">
      <c r="A11" s="13" t="s">
        <v>830</v>
      </c>
      <c r="B11" s="13" t="s">
        <v>583</v>
      </c>
      <c r="C11" s="15" t="s">
        <v>831</v>
      </c>
      <c r="D11" s="13">
        <v>163</v>
      </c>
      <c r="E11" s="13" t="s">
        <v>798</v>
      </c>
      <c r="F11" s="13">
        <v>315</v>
      </c>
      <c r="G11" s="13" t="s">
        <v>118</v>
      </c>
      <c r="H11" s="13" t="s">
        <v>602</v>
      </c>
      <c r="I11" s="18" t="s">
        <v>379</v>
      </c>
      <c r="J11" s="18" t="s">
        <v>712</v>
      </c>
      <c r="K11" s="18" t="s">
        <v>253</v>
      </c>
      <c r="L11" s="18" t="s">
        <v>253</v>
      </c>
      <c r="M11" s="18" t="s">
        <v>581</v>
      </c>
      <c r="N11" s="18" t="s">
        <v>591</v>
      </c>
    </row>
    <row r="12" spans="1:14" ht="28.5" x14ac:dyDescent="0.35">
      <c r="A12" s="13" t="s">
        <v>832</v>
      </c>
      <c r="B12" s="13" t="s">
        <v>583</v>
      </c>
      <c r="C12" s="15" t="s">
        <v>833</v>
      </c>
      <c r="D12" s="13">
        <v>611</v>
      </c>
      <c r="E12" s="13" t="s">
        <v>53</v>
      </c>
      <c r="F12" s="13">
        <v>611</v>
      </c>
      <c r="G12" s="13" t="s">
        <v>11</v>
      </c>
      <c r="H12" s="13" t="s">
        <v>600</v>
      </c>
      <c r="I12" s="18" t="s">
        <v>629</v>
      </c>
      <c r="J12" s="18" t="s">
        <v>630</v>
      </c>
      <c r="K12" s="18" t="s">
        <v>242</v>
      </c>
      <c r="L12" s="18" t="s">
        <v>260</v>
      </c>
      <c r="M12" s="18" t="s">
        <v>588</v>
      </c>
      <c r="N12" s="18" t="s">
        <v>589</v>
      </c>
    </row>
    <row r="13" spans="1:14" ht="28.5" x14ac:dyDescent="0.35">
      <c r="A13" s="13" t="s">
        <v>834</v>
      </c>
      <c r="B13" s="13" t="s">
        <v>568</v>
      </c>
      <c r="C13" s="15" t="s">
        <v>835</v>
      </c>
      <c r="D13" s="13">
        <v>200</v>
      </c>
      <c r="E13" s="13" t="s">
        <v>49</v>
      </c>
      <c r="F13" s="13">
        <v>200</v>
      </c>
      <c r="G13" s="13" t="s">
        <v>118</v>
      </c>
      <c r="H13" s="13" t="s">
        <v>602</v>
      </c>
      <c r="I13" s="18" t="s">
        <v>379</v>
      </c>
      <c r="J13" s="18" t="s">
        <v>712</v>
      </c>
      <c r="K13" s="18" t="s">
        <v>260</v>
      </c>
      <c r="L13" s="18" t="s">
        <v>253</v>
      </c>
      <c r="M13" s="18" t="s">
        <v>581</v>
      </c>
      <c r="N13" s="18" t="s">
        <v>808</v>
      </c>
    </row>
    <row r="14" spans="1:14" ht="28.5" x14ac:dyDescent="0.35">
      <c r="A14" s="13" t="s">
        <v>836</v>
      </c>
      <c r="B14" s="13" t="s">
        <v>583</v>
      </c>
      <c r="C14" s="15" t="s">
        <v>837</v>
      </c>
      <c r="D14" s="13">
        <v>63</v>
      </c>
      <c r="E14" s="13" t="s">
        <v>15</v>
      </c>
      <c r="F14" s="13">
        <v>79</v>
      </c>
      <c r="G14" s="13" t="s">
        <v>103</v>
      </c>
      <c r="H14" s="13" t="s">
        <v>612</v>
      </c>
      <c r="I14" s="18" t="s">
        <v>17</v>
      </c>
      <c r="J14" s="18" t="s">
        <v>811</v>
      </c>
      <c r="K14" s="18" t="s">
        <v>242</v>
      </c>
      <c r="L14" s="18" t="s">
        <v>242</v>
      </c>
      <c r="M14" s="18" t="s">
        <v>657</v>
      </c>
      <c r="N14" s="18" t="s">
        <v>589</v>
      </c>
    </row>
    <row r="15" spans="1:14" ht="28.5" x14ac:dyDescent="0.35">
      <c r="A15" s="13" t="s">
        <v>838</v>
      </c>
      <c r="B15" s="13" t="s">
        <v>583</v>
      </c>
      <c r="C15" s="15" t="s">
        <v>839</v>
      </c>
      <c r="D15" s="13">
        <v>384</v>
      </c>
      <c r="E15" s="13" t="s">
        <v>75</v>
      </c>
      <c r="F15" s="13">
        <v>384</v>
      </c>
      <c r="G15" s="13" t="s">
        <v>103</v>
      </c>
      <c r="H15" s="13" t="s">
        <v>612</v>
      </c>
      <c r="I15" s="18" t="s">
        <v>572</v>
      </c>
      <c r="J15" s="18" t="s">
        <v>605</v>
      </c>
      <c r="K15" s="18" t="s">
        <v>253</v>
      </c>
      <c r="L15" s="18" t="s">
        <v>260</v>
      </c>
      <c r="M15" s="18" t="s">
        <v>627</v>
      </c>
      <c r="N15" s="18" t="s">
        <v>585</v>
      </c>
    </row>
    <row r="16" spans="1:14" ht="28.5" x14ac:dyDescent="0.35">
      <c r="A16" s="13" t="s">
        <v>840</v>
      </c>
      <c r="B16" s="13" t="s">
        <v>583</v>
      </c>
      <c r="C16" s="15" t="s">
        <v>841</v>
      </c>
      <c r="D16" s="13">
        <v>798</v>
      </c>
      <c r="E16" s="13" t="s">
        <v>233</v>
      </c>
      <c r="F16" s="13">
        <v>798</v>
      </c>
      <c r="G16" s="13" t="s">
        <v>103</v>
      </c>
      <c r="H16" s="13" t="s">
        <v>612</v>
      </c>
      <c r="I16" s="18" t="s">
        <v>842</v>
      </c>
      <c r="J16" s="18" t="s">
        <v>843</v>
      </c>
      <c r="K16" s="18" t="s">
        <v>242</v>
      </c>
      <c r="L16" s="18" t="s">
        <v>242</v>
      </c>
      <c r="M16" s="18" t="s">
        <v>582</v>
      </c>
      <c r="N16" s="18" t="s">
        <v>844</v>
      </c>
    </row>
    <row r="17" spans="1:14" ht="31" x14ac:dyDescent="0.35">
      <c r="A17" s="18" t="s">
        <v>845</v>
      </c>
      <c r="B17" s="18" t="s">
        <v>583</v>
      </c>
      <c r="C17" s="19" t="s">
        <v>846</v>
      </c>
      <c r="D17" s="18">
        <v>662</v>
      </c>
      <c r="E17" s="18" t="s">
        <v>847</v>
      </c>
      <c r="F17" s="18">
        <v>662</v>
      </c>
      <c r="G17" s="18" t="s">
        <v>103</v>
      </c>
      <c r="H17" s="18" t="s">
        <v>612</v>
      </c>
      <c r="I17" s="18" t="s">
        <v>848</v>
      </c>
      <c r="J17" s="18" t="s">
        <v>849</v>
      </c>
      <c r="K17" s="18" t="s">
        <v>253</v>
      </c>
      <c r="L17" s="18" t="s">
        <v>260</v>
      </c>
      <c r="M17" s="18" t="s">
        <v>705</v>
      </c>
      <c r="N17" s="18" t="s">
        <v>850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E419A-1317-4DD6-8F63-7353D61F73C4}">
  <dimension ref="A1:N21"/>
  <sheetViews>
    <sheetView workbookViewId="0">
      <selection activeCell="C17" sqref="C17"/>
    </sheetView>
  </sheetViews>
  <sheetFormatPr defaultRowHeight="15.5" x14ac:dyDescent="0.35"/>
  <cols>
    <col min="1" max="1" width="41.36328125" style="16" bestFit="1" customWidth="1"/>
    <col min="2" max="2" width="14.453125" style="16" bestFit="1" customWidth="1"/>
    <col min="3" max="3" width="98.08984375" style="17" bestFit="1" customWidth="1"/>
    <col min="4" max="4" width="10.26953125" style="16" bestFit="1" customWidth="1"/>
    <col min="5" max="5" width="48.26953125" style="16" bestFit="1" customWidth="1"/>
    <col min="6" max="6" width="8" style="16" bestFit="1" customWidth="1"/>
    <col min="7" max="7" width="15.81640625" style="16" bestFit="1" customWidth="1"/>
    <col min="8" max="8" width="24.6328125" style="16" bestFit="1" customWidth="1"/>
    <col min="9" max="9" width="22.6328125" style="16" bestFit="1" customWidth="1"/>
    <col min="10" max="10" width="63.1796875" style="16" bestFit="1" customWidth="1"/>
    <col min="11" max="11" width="9.36328125" style="16" bestFit="1" customWidth="1"/>
    <col min="12" max="12" width="12.08984375" style="16" bestFit="1" customWidth="1"/>
    <col min="13" max="13" width="38.6328125" style="16" bestFit="1" customWidth="1"/>
    <col min="14" max="14" width="39.1796875" style="16" bestFit="1" customWidth="1"/>
    <col min="15" max="16384" width="8.7265625" style="16"/>
  </cols>
  <sheetData>
    <row r="1" spans="1:14" x14ac:dyDescent="0.35">
      <c r="A1" s="6" t="s">
        <v>0</v>
      </c>
      <c r="B1" s="6" t="s">
        <v>567</v>
      </c>
      <c r="C1" s="14" t="s">
        <v>2</v>
      </c>
      <c r="D1" s="6" t="s">
        <v>3</v>
      </c>
      <c r="E1" s="6" t="s">
        <v>4</v>
      </c>
      <c r="F1" s="6" t="s">
        <v>5</v>
      </c>
      <c r="G1" s="6" t="s">
        <v>6</v>
      </c>
      <c r="H1" s="6" t="s">
        <v>598</v>
      </c>
      <c r="I1" s="9" t="s">
        <v>7</v>
      </c>
      <c r="J1" s="9" t="s">
        <v>599</v>
      </c>
      <c r="K1" s="8" t="s">
        <v>240</v>
      </c>
      <c r="L1" s="8" t="s">
        <v>241</v>
      </c>
      <c r="M1" s="8" t="s">
        <v>579</v>
      </c>
      <c r="N1" s="8" t="s">
        <v>580</v>
      </c>
    </row>
    <row r="2" spans="1:14" x14ac:dyDescent="0.35">
      <c r="A2" s="13" t="s">
        <v>764</v>
      </c>
      <c r="B2" s="13" t="s">
        <v>568</v>
      </c>
      <c r="C2" s="15" t="s">
        <v>765</v>
      </c>
      <c r="D2" s="13">
        <v>112</v>
      </c>
      <c r="E2" s="13" t="s">
        <v>569</v>
      </c>
      <c r="F2" s="13">
        <v>16</v>
      </c>
      <c r="G2" s="13" t="s">
        <v>11</v>
      </c>
      <c r="H2" s="13" t="s">
        <v>600</v>
      </c>
      <c r="I2" s="18" t="s">
        <v>247</v>
      </c>
      <c r="J2" s="18" t="s">
        <v>601</v>
      </c>
      <c r="K2" s="18" t="s">
        <v>242</v>
      </c>
      <c r="L2" s="18" t="s">
        <v>253</v>
      </c>
      <c r="M2" s="18" t="s">
        <v>618</v>
      </c>
      <c r="N2" s="18" t="s">
        <v>591</v>
      </c>
    </row>
    <row r="3" spans="1:14" ht="28.5" x14ac:dyDescent="0.35">
      <c r="A3" s="13" t="s">
        <v>766</v>
      </c>
      <c r="B3" s="13" t="s">
        <v>568</v>
      </c>
      <c r="C3" s="15" t="s">
        <v>767</v>
      </c>
      <c r="D3" s="13">
        <v>548</v>
      </c>
      <c r="E3" s="13" t="s">
        <v>520</v>
      </c>
      <c r="F3" s="13">
        <v>538</v>
      </c>
      <c r="G3" s="13" t="s">
        <v>118</v>
      </c>
      <c r="H3" s="13" t="s">
        <v>602</v>
      </c>
      <c r="I3" s="18" t="s">
        <v>576</v>
      </c>
      <c r="J3" s="18" t="s">
        <v>610</v>
      </c>
      <c r="K3" s="18" t="s">
        <v>253</v>
      </c>
      <c r="L3" s="18" t="s">
        <v>253</v>
      </c>
      <c r="M3" s="18" t="s">
        <v>584</v>
      </c>
      <c r="N3" s="18" t="s">
        <v>586</v>
      </c>
    </row>
    <row r="4" spans="1:14" ht="28.5" x14ac:dyDescent="0.35">
      <c r="A4" s="13" t="s">
        <v>768</v>
      </c>
      <c r="B4" s="13" t="s">
        <v>583</v>
      </c>
      <c r="C4" s="15" t="s">
        <v>769</v>
      </c>
      <c r="D4" s="13">
        <v>100</v>
      </c>
      <c r="E4" s="13" t="s">
        <v>182</v>
      </c>
      <c r="F4" s="13">
        <v>120</v>
      </c>
      <c r="G4" s="13" t="s">
        <v>25</v>
      </c>
      <c r="H4" s="13" t="s">
        <v>606</v>
      </c>
      <c r="I4" s="18" t="s">
        <v>26</v>
      </c>
      <c r="J4" s="18" t="s">
        <v>607</v>
      </c>
      <c r="K4" s="18" t="s">
        <v>242</v>
      </c>
      <c r="L4" s="18" t="s">
        <v>253</v>
      </c>
      <c r="M4" s="18" t="s">
        <v>627</v>
      </c>
      <c r="N4" s="18" t="s">
        <v>585</v>
      </c>
    </row>
    <row r="5" spans="1:14" ht="28.5" x14ac:dyDescent="0.35">
      <c r="A5" s="13" t="s">
        <v>770</v>
      </c>
      <c r="B5" s="13" t="s">
        <v>573</v>
      </c>
      <c r="C5" s="15" t="s">
        <v>771</v>
      </c>
      <c r="D5" s="13">
        <v>409</v>
      </c>
      <c r="E5" s="13" t="s">
        <v>578</v>
      </c>
      <c r="F5" s="13">
        <v>400</v>
      </c>
      <c r="G5" s="13" t="s">
        <v>25</v>
      </c>
      <c r="H5" s="13" t="s">
        <v>606</v>
      </c>
      <c r="I5" s="18" t="s">
        <v>26</v>
      </c>
      <c r="J5" s="18" t="s">
        <v>607</v>
      </c>
      <c r="K5" s="18" t="s">
        <v>242</v>
      </c>
      <c r="L5" s="18" t="s">
        <v>253</v>
      </c>
      <c r="M5" s="18" t="s">
        <v>587</v>
      </c>
      <c r="N5" s="18" t="s">
        <v>591</v>
      </c>
    </row>
    <row r="6" spans="1:14" x14ac:dyDescent="0.35">
      <c r="A6" s="13" t="s">
        <v>772</v>
      </c>
      <c r="B6" s="13" t="s">
        <v>583</v>
      </c>
      <c r="C6" s="15" t="s">
        <v>773</v>
      </c>
      <c r="D6" s="13">
        <v>918</v>
      </c>
      <c r="E6" s="13" t="s">
        <v>175</v>
      </c>
      <c r="F6" s="13">
        <v>918</v>
      </c>
      <c r="G6" s="13" t="s">
        <v>118</v>
      </c>
      <c r="H6" s="13" t="s">
        <v>602</v>
      </c>
      <c r="I6" s="18" t="s">
        <v>576</v>
      </c>
      <c r="J6" s="18" t="s">
        <v>1281</v>
      </c>
      <c r="K6" s="18" t="s">
        <v>242</v>
      </c>
      <c r="L6" s="18" t="s">
        <v>253</v>
      </c>
      <c r="M6" s="18"/>
      <c r="N6" s="18" t="s">
        <v>586</v>
      </c>
    </row>
    <row r="7" spans="1:14" x14ac:dyDescent="0.35">
      <c r="A7" s="13" t="s">
        <v>774</v>
      </c>
      <c r="B7" s="13" t="s">
        <v>583</v>
      </c>
      <c r="C7" s="15" t="s">
        <v>775</v>
      </c>
      <c r="D7" s="13">
        <v>215</v>
      </c>
      <c r="E7" s="13" t="s">
        <v>70</v>
      </c>
      <c r="F7" s="13">
        <v>16</v>
      </c>
      <c r="G7" s="13" t="s">
        <v>25</v>
      </c>
      <c r="H7" s="13" t="s">
        <v>606</v>
      </c>
      <c r="I7" s="18" t="s">
        <v>26</v>
      </c>
      <c r="J7" s="18" t="s">
        <v>607</v>
      </c>
      <c r="K7" s="18" t="s">
        <v>253</v>
      </c>
      <c r="L7" s="18" t="s">
        <v>242</v>
      </c>
      <c r="M7" s="18" t="s">
        <v>584</v>
      </c>
      <c r="N7" s="18" t="s">
        <v>591</v>
      </c>
    </row>
    <row r="8" spans="1:14" ht="28.5" x14ac:dyDescent="0.35">
      <c r="A8" s="13" t="s">
        <v>776</v>
      </c>
      <c r="B8" s="13" t="s">
        <v>583</v>
      </c>
      <c r="C8" s="15" t="s">
        <v>777</v>
      </c>
      <c r="D8" s="13">
        <v>113</v>
      </c>
      <c r="E8" s="13" t="s">
        <v>626</v>
      </c>
      <c r="F8" s="13">
        <v>113</v>
      </c>
      <c r="G8" s="13" t="s">
        <v>118</v>
      </c>
      <c r="H8" s="13" t="s">
        <v>602</v>
      </c>
      <c r="I8" s="18" t="s">
        <v>379</v>
      </c>
      <c r="J8" s="18" t="s">
        <v>712</v>
      </c>
      <c r="K8" s="18" t="s">
        <v>253</v>
      </c>
      <c r="L8" s="18" t="s">
        <v>260</v>
      </c>
      <c r="M8" s="18" t="s">
        <v>654</v>
      </c>
      <c r="N8" s="18" t="s">
        <v>585</v>
      </c>
    </row>
    <row r="9" spans="1:14" ht="28.5" x14ac:dyDescent="0.35">
      <c r="A9" s="13" t="s">
        <v>778</v>
      </c>
      <c r="B9" s="13" t="s">
        <v>573</v>
      </c>
      <c r="C9" s="15" t="s">
        <v>779</v>
      </c>
      <c r="D9" s="13">
        <v>586</v>
      </c>
      <c r="E9" s="13" t="s">
        <v>780</v>
      </c>
      <c r="F9" s="13">
        <v>400</v>
      </c>
      <c r="G9" s="13" t="s">
        <v>25</v>
      </c>
      <c r="H9" s="13" t="s">
        <v>606</v>
      </c>
      <c r="I9" s="18" t="s">
        <v>26</v>
      </c>
      <c r="J9" s="18" t="s">
        <v>607</v>
      </c>
      <c r="K9" s="18" t="s">
        <v>242</v>
      </c>
      <c r="L9" s="18" t="s">
        <v>242</v>
      </c>
      <c r="M9" s="18" t="s">
        <v>581</v>
      </c>
      <c r="N9" s="18" t="s">
        <v>591</v>
      </c>
    </row>
    <row r="10" spans="1:14" ht="28.5" x14ac:dyDescent="0.35">
      <c r="A10" s="13" t="s">
        <v>781</v>
      </c>
      <c r="B10" s="13" t="s">
        <v>568</v>
      </c>
      <c r="C10" s="15" t="s">
        <v>782</v>
      </c>
      <c r="D10" s="13">
        <v>346</v>
      </c>
      <c r="E10" s="13" t="s">
        <v>74</v>
      </c>
      <c r="F10" s="13">
        <v>16</v>
      </c>
      <c r="G10" s="13" t="s">
        <v>118</v>
      </c>
      <c r="H10" s="13" t="s">
        <v>602</v>
      </c>
      <c r="I10" s="18" t="s">
        <v>379</v>
      </c>
      <c r="J10" s="18" t="s">
        <v>712</v>
      </c>
      <c r="K10" s="18" t="s">
        <v>253</v>
      </c>
      <c r="L10" s="18" t="s">
        <v>253</v>
      </c>
      <c r="M10" s="18" t="s">
        <v>588</v>
      </c>
      <c r="N10" s="18" t="s">
        <v>591</v>
      </c>
    </row>
    <row r="11" spans="1:14" x14ac:dyDescent="0.35">
      <c r="A11" s="13" t="s">
        <v>783</v>
      </c>
      <c r="B11" s="13" t="s">
        <v>583</v>
      </c>
      <c r="C11" s="15" t="s">
        <v>784</v>
      </c>
      <c r="D11" s="13">
        <v>88</v>
      </c>
      <c r="E11" s="13" t="s">
        <v>224</v>
      </c>
      <c r="F11" s="13">
        <v>78</v>
      </c>
      <c r="G11" s="13" t="s">
        <v>103</v>
      </c>
      <c r="H11" s="13" t="s">
        <v>612</v>
      </c>
      <c r="I11" s="18" t="s">
        <v>785</v>
      </c>
      <c r="J11" s="18" t="s">
        <v>786</v>
      </c>
      <c r="K11" s="18" t="s">
        <v>242</v>
      </c>
      <c r="L11" s="18" t="s">
        <v>242</v>
      </c>
      <c r="M11" s="18" t="s">
        <v>627</v>
      </c>
      <c r="N11" s="18" t="s">
        <v>585</v>
      </c>
    </row>
    <row r="12" spans="1:14" ht="28.5" x14ac:dyDescent="0.35">
      <c r="A12" s="13" t="s">
        <v>787</v>
      </c>
      <c r="B12" s="13" t="s">
        <v>583</v>
      </c>
      <c r="C12" s="15" t="s">
        <v>788</v>
      </c>
      <c r="D12" s="13">
        <v>290</v>
      </c>
      <c r="E12" s="13" t="s">
        <v>789</v>
      </c>
      <c r="F12" s="13">
        <v>330</v>
      </c>
      <c r="G12" s="13" t="s">
        <v>118</v>
      </c>
      <c r="H12" s="13" t="s">
        <v>602</v>
      </c>
      <c r="I12" s="18" t="s">
        <v>576</v>
      </c>
      <c r="J12" s="18" t="s">
        <v>610</v>
      </c>
      <c r="K12" s="18" t="s">
        <v>253</v>
      </c>
      <c r="L12" s="18" t="s">
        <v>253</v>
      </c>
      <c r="M12" s="18" t="s">
        <v>657</v>
      </c>
      <c r="N12" s="18" t="s">
        <v>585</v>
      </c>
    </row>
    <row r="13" spans="1:14" x14ac:dyDescent="0.35">
      <c r="A13" s="13" t="s">
        <v>790</v>
      </c>
      <c r="B13" s="13" t="s">
        <v>583</v>
      </c>
      <c r="C13" s="15" t="s">
        <v>791</v>
      </c>
      <c r="D13" s="13">
        <v>798</v>
      </c>
      <c r="E13" s="13" t="s">
        <v>233</v>
      </c>
      <c r="F13" s="13">
        <v>798</v>
      </c>
      <c r="G13" s="13" t="s">
        <v>11</v>
      </c>
      <c r="H13" s="13" t="s">
        <v>600</v>
      </c>
      <c r="I13" s="18" t="s">
        <v>247</v>
      </c>
      <c r="J13" s="18" t="s">
        <v>601</v>
      </c>
      <c r="K13" s="18" t="s">
        <v>242</v>
      </c>
      <c r="L13" s="18" t="s">
        <v>242</v>
      </c>
      <c r="M13" s="18" t="s">
        <v>644</v>
      </c>
      <c r="N13" s="18" t="s">
        <v>585</v>
      </c>
    </row>
    <row r="14" spans="1:14" x14ac:dyDescent="0.35">
      <c r="A14" s="13" t="s">
        <v>792</v>
      </c>
      <c r="B14" s="13" t="s">
        <v>583</v>
      </c>
      <c r="C14" s="15" t="s">
        <v>793</v>
      </c>
      <c r="D14" s="13">
        <v>611</v>
      </c>
      <c r="E14" s="13" t="s">
        <v>53</v>
      </c>
      <c r="F14" s="13">
        <v>611</v>
      </c>
      <c r="G14" s="13" t="s">
        <v>11</v>
      </c>
      <c r="H14" s="13" t="s">
        <v>600</v>
      </c>
      <c r="I14" s="18" t="s">
        <v>629</v>
      </c>
      <c r="J14" s="18" t="s">
        <v>630</v>
      </c>
      <c r="K14" s="18" t="s">
        <v>242</v>
      </c>
      <c r="L14" s="18" t="s">
        <v>260</v>
      </c>
      <c r="M14" s="18" t="s">
        <v>588</v>
      </c>
      <c r="N14" s="18" t="s">
        <v>589</v>
      </c>
    </row>
    <row r="15" spans="1:14" x14ac:dyDescent="0.35">
      <c r="A15" s="13" t="s">
        <v>794</v>
      </c>
      <c r="B15" s="13" t="s">
        <v>583</v>
      </c>
      <c r="C15" s="15" t="s">
        <v>795</v>
      </c>
      <c r="D15" s="13">
        <v>532</v>
      </c>
      <c r="E15" s="13" t="s">
        <v>271</v>
      </c>
      <c r="F15" s="13">
        <v>532</v>
      </c>
      <c r="G15" s="13" t="s">
        <v>118</v>
      </c>
      <c r="H15" s="13" t="s">
        <v>602</v>
      </c>
      <c r="I15" s="18" t="s">
        <v>379</v>
      </c>
      <c r="J15" s="18" t="s">
        <v>712</v>
      </c>
      <c r="K15" s="18" t="s">
        <v>260</v>
      </c>
      <c r="L15" s="18" t="s">
        <v>253</v>
      </c>
      <c r="M15" s="18" t="s">
        <v>584</v>
      </c>
      <c r="N15" s="18" t="s">
        <v>586</v>
      </c>
    </row>
    <row r="16" spans="1:14" ht="28.5" x14ac:dyDescent="0.35">
      <c r="A16" s="13" t="s">
        <v>796</v>
      </c>
      <c r="B16" s="13" t="s">
        <v>583</v>
      </c>
      <c r="C16" s="15" t="s">
        <v>797</v>
      </c>
      <c r="D16" s="13">
        <v>163</v>
      </c>
      <c r="E16" s="13" t="s">
        <v>798</v>
      </c>
      <c r="F16" s="13">
        <v>315</v>
      </c>
      <c r="G16" s="13" t="s">
        <v>118</v>
      </c>
      <c r="H16" s="13" t="s">
        <v>602</v>
      </c>
      <c r="I16" s="18" t="s">
        <v>379</v>
      </c>
      <c r="J16" s="18" t="s">
        <v>712</v>
      </c>
      <c r="K16" s="18" t="s">
        <v>253</v>
      </c>
      <c r="L16" s="18" t="s">
        <v>253</v>
      </c>
      <c r="M16" s="18" t="s">
        <v>581</v>
      </c>
      <c r="N16" s="18" t="s">
        <v>591</v>
      </c>
    </row>
    <row r="17" spans="1:14" x14ac:dyDescent="0.35">
      <c r="A17" s="18" t="s">
        <v>799</v>
      </c>
      <c r="B17" s="18" t="s">
        <v>583</v>
      </c>
      <c r="C17" s="19" t="s">
        <v>800</v>
      </c>
      <c r="D17" s="18">
        <v>93</v>
      </c>
      <c r="E17" s="18" t="s">
        <v>801</v>
      </c>
      <c r="F17" s="18">
        <v>93</v>
      </c>
      <c r="G17" s="18" t="s">
        <v>103</v>
      </c>
      <c r="H17" s="18" t="s">
        <v>612</v>
      </c>
      <c r="I17" s="18" t="s">
        <v>667</v>
      </c>
      <c r="J17" s="18" t="s">
        <v>668</v>
      </c>
      <c r="K17" s="18" t="s">
        <v>253</v>
      </c>
      <c r="L17" s="18" t="s">
        <v>260</v>
      </c>
      <c r="M17" s="18" t="s">
        <v>644</v>
      </c>
      <c r="N17" s="18" t="s">
        <v>586</v>
      </c>
    </row>
    <row r="18" spans="1:14" x14ac:dyDescent="0.35">
      <c r="A18" s="16" t="s">
        <v>802</v>
      </c>
      <c r="B18" s="16" t="s">
        <v>573</v>
      </c>
      <c r="C18" s="17" t="s">
        <v>803</v>
      </c>
      <c r="D18" s="16">
        <v>94</v>
      </c>
      <c r="E18" s="16" t="s">
        <v>57</v>
      </c>
      <c r="F18" s="16">
        <v>300</v>
      </c>
      <c r="G18" s="16" t="s">
        <v>25</v>
      </c>
      <c r="H18" s="16" t="s">
        <v>606</v>
      </c>
      <c r="I18" s="16" t="s">
        <v>26</v>
      </c>
      <c r="J18" s="16" t="s">
        <v>607</v>
      </c>
      <c r="K18" s="16" t="s">
        <v>242</v>
      </c>
      <c r="L18" s="16" t="s">
        <v>253</v>
      </c>
      <c r="M18" s="16" t="s">
        <v>618</v>
      </c>
      <c r="N18" s="16" t="s">
        <v>595</v>
      </c>
    </row>
    <row r="19" spans="1:14" x14ac:dyDescent="0.35">
      <c r="A19" s="16" t="s">
        <v>804</v>
      </c>
      <c r="B19" s="16" t="s">
        <v>583</v>
      </c>
      <c r="C19" s="17" t="s">
        <v>805</v>
      </c>
      <c r="D19" s="16">
        <v>384</v>
      </c>
      <c r="E19" s="16" t="s">
        <v>75</v>
      </c>
      <c r="F19" s="16">
        <v>384</v>
      </c>
      <c r="G19" s="16" t="s">
        <v>103</v>
      </c>
      <c r="H19" s="16" t="s">
        <v>612</v>
      </c>
      <c r="I19" s="16" t="s">
        <v>572</v>
      </c>
      <c r="J19" s="16" t="s">
        <v>605</v>
      </c>
      <c r="K19" s="16" t="s">
        <v>253</v>
      </c>
      <c r="L19" s="16" t="s">
        <v>260</v>
      </c>
      <c r="M19" s="16" t="s">
        <v>627</v>
      </c>
      <c r="N19" s="16" t="s">
        <v>585</v>
      </c>
    </row>
    <row r="20" spans="1:14" x14ac:dyDescent="0.35">
      <c r="A20" s="16" t="s">
        <v>806</v>
      </c>
      <c r="B20" s="16" t="s">
        <v>568</v>
      </c>
      <c r="C20" s="17" t="s">
        <v>807</v>
      </c>
      <c r="D20" s="16">
        <v>200</v>
      </c>
      <c r="E20" s="16" t="s">
        <v>49</v>
      </c>
      <c r="F20" s="16">
        <v>200</v>
      </c>
      <c r="G20" s="16" t="s">
        <v>118</v>
      </c>
      <c r="H20" s="16" t="s">
        <v>602</v>
      </c>
      <c r="I20" s="16" t="s">
        <v>379</v>
      </c>
      <c r="J20" s="16" t="s">
        <v>712</v>
      </c>
      <c r="K20" s="16" t="s">
        <v>260</v>
      </c>
      <c r="L20" s="16" t="s">
        <v>253</v>
      </c>
      <c r="M20" s="16" t="s">
        <v>581</v>
      </c>
      <c r="N20" s="16" t="s">
        <v>808</v>
      </c>
    </row>
    <row r="21" spans="1:14" ht="31" x14ac:dyDescent="0.35">
      <c r="A21" s="16" t="s">
        <v>809</v>
      </c>
      <c r="B21" s="16" t="s">
        <v>583</v>
      </c>
      <c r="C21" s="17" t="s">
        <v>810</v>
      </c>
      <c r="D21" s="16">
        <v>63</v>
      </c>
      <c r="E21" s="16" t="s">
        <v>15</v>
      </c>
      <c r="F21" s="16">
        <v>79</v>
      </c>
      <c r="G21" s="16" t="s">
        <v>103</v>
      </c>
      <c r="H21" s="16" t="s">
        <v>612</v>
      </c>
      <c r="I21" s="16" t="s">
        <v>17</v>
      </c>
      <c r="J21" s="16" t="s">
        <v>811</v>
      </c>
      <c r="K21" s="16" t="s">
        <v>242</v>
      </c>
      <c r="L21" s="16" t="s">
        <v>242</v>
      </c>
      <c r="M21" s="16" t="s">
        <v>657</v>
      </c>
      <c r="N21" s="16" t="s">
        <v>589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221B7-DDC6-4F7B-BD6C-6D0007757033}">
  <dimension ref="A1:N17"/>
  <sheetViews>
    <sheetView workbookViewId="0">
      <selection activeCell="C17" sqref="C17"/>
    </sheetView>
  </sheetViews>
  <sheetFormatPr defaultRowHeight="15.5" x14ac:dyDescent="0.35"/>
  <cols>
    <col min="1" max="1" width="28.453125" style="16" bestFit="1" customWidth="1"/>
    <col min="2" max="2" width="40.36328125" style="16" bestFit="1" customWidth="1"/>
    <col min="3" max="3" width="143" style="17" bestFit="1" customWidth="1"/>
    <col min="4" max="4" width="10.26953125" style="16" bestFit="1" customWidth="1"/>
    <col min="5" max="5" width="42.7265625" style="16" bestFit="1" customWidth="1"/>
    <col min="6" max="6" width="8" style="16" bestFit="1" customWidth="1"/>
    <col min="7" max="7" width="15.81640625" style="16" bestFit="1" customWidth="1"/>
    <col min="8" max="8" width="20" style="16" bestFit="1" customWidth="1"/>
    <col min="9" max="9" width="8.7265625" style="16"/>
    <col min="10" max="10" width="1.7265625" style="16" bestFit="1" customWidth="1"/>
    <col min="11" max="16384" width="8.7265625" style="16"/>
  </cols>
  <sheetData>
    <row r="1" spans="1:14" x14ac:dyDescent="0.35">
      <c r="A1" s="6" t="s">
        <v>0</v>
      </c>
      <c r="B1" s="6" t="s">
        <v>1</v>
      </c>
      <c r="C1" s="14" t="s">
        <v>2</v>
      </c>
      <c r="D1" s="6" t="s">
        <v>3</v>
      </c>
      <c r="E1" s="6" t="s">
        <v>4</v>
      </c>
      <c r="F1" s="6" t="s">
        <v>5</v>
      </c>
      <c r="G1" s="6" t="s">
        <v>6</v>
      </c>
      <c r="H1" s="6" t="s">
        <v>7</v>
      </c>
      <c r="I1" s="9"/>
      <c r="J1" s="9"/>
      <c r="K1" s="8"/>
      <c r="L1" s="8"/>
      <c r="M1" s="8"/>
      <c r="N1" s="8"/>
    </row>
    <row r="2" spans="1:14" x14ac:dyDescent="0.35">
      <c r="A2" s="13" t="s">
        <v>96</v>
      </c>
      <c r="B2" s="13" t="s">
        <v>97</v>
      </c>
      <c r="C2" s="15" t="s">
        <v>98</v>
      </c>
      <c r="D2" s="13">
        <v>486</v>
      </c>
      <c r="E2" s="13" t="s">
        <v>73</v>
      </c>
      <c r="F2" s="13">
        <v>770</v>
      </c>
      <c r="G2" s="13" t="s">
        <v>25</v>
      </c>
      <c r="H2" s="13" t="s">
        <v>26</v>
      </c>
      <c r="I2" s="18"/>
      <c r="J2" s="18"/>
      <c r="K2" s="18"/>
      <c r="L2" s="18"/>
      <c r="M2" s="18"/>
      <c r="N2" s="18"/>
    </row>
    <row r="3" spans="1:14" x14ac:dyDescent="0.35">
      <c r="A3" s="13" t="s">
        <v>99</v>
      </c>
      <c r="B3" s="13" t="s">
        <v>100</v>
      </c>
      <c r="C3" s="15" t="s">
        <v>101</v>
      </c>
      <c r="D3" s="13">
        <v>358</v>
      </c>
      <c r="E3" s="13" t="s">
        <v>102</v>
      </c>
      <c r="F3" s="13">
        <v>319</v>
      </c>
      <c r="G3" s="13" t="s">
        <v>103</v>
      </c>
      <c r="H3" s="13" t="s">
        <v>104</v>
      </c>
      <c r="I3" s="18"/>
      <c r="J3" s="18"/>
      <c r="K3" s="18"/>
      <c r="L3" s="18"/>
      <c r="M3" s="18"/>
      <c r="N3" s="18"/>
    </row>
    <row r="4" spans="1:14" x14ac:dyDescent="0.35">
      <c r="A4" s="13" t="s">
        <v>105</v>
      </c>
      <c r="B4" s="13" t="s">
        <v>106</v>
      </c>
      <c r="C4" s="15" t="s">
        <v>107</v>
      </c>
      <c r="D4" s="13" t="s">
        <v>108</v>
      </c>
      <c r="E4" s="13" t="s">
        <v>108</v>
      </c>
      <c r="F4" s="13">
        <v>384</v>
      </c>
      <c r="G4" s="13" t="s">
        <v>16</v>
      </c>
      <c r="H4" s="13" t="s">
        <v>43</v>
      </c>
      <c r="I4" s="18"/>
      <c r="J4" s="18"/>
      <c r="K4" s="18"/>
      <c r="L4" s="18"/>
      <c r="M4" s="18"/>
      <c r="N4" s="18"/>
    </row>
    <row r="5" spans="1:14" x14ac:dyDescent="0.35">
      <c r="A5" s="13" t="s">
        <v>109</v>
      </c>
      <c r="B5" s="13" t="s">
        <v>110</v>
      </c>
      <c r="C5" s="15" t="s">
        <v>111</v>
      </c>
      <c r="D5" s="13">
        <v>281</v>
      </c>
      <c r="E5" s="13" t="s">
        <v>112</v>
      </c>
      <c r="F5" s="13" t="s">
        <v>108</v>
      </c>
      <c r="G5" s="13" t="s">
        <v>25</v>
      </c>
      <c r="H5" s="13" t="s">
        <v>113</v>
      </c>
      <c r="I5" s="18"/>
      <c r="J5" s="18"/>
      <c r="K5" s="18"/>
      <c r="L5" s="18"/>
      <c r="M5" s="18"/>
      <c r="N5" s="18"/>
    </row>
    <row r="6" spans="1:14" x14ac:dyDescent="0.35">
      <c r="A6" s="13" t="s">
        <v>114</v>
      </c>
      <c r="B6" s="13" t="s">
        <v>115</v>
      </c>
      <c r="C6" s="15" t="s">
        <v>116</v>
      </c>
      <c r="D6" s="13">
        <v>170</v>
      </c>
      <c r="E6" s="13" t="s">
        <v>117</v>
      </c>
      <c r="F6" s="13">
        <v>200</v>
      </c>
      <c r="G6" s="13" t="s">
        <v>118</v>
      </c>
      <c r="H6" s="13" t="s">
        <v>119</v>
      </c>
      <c r="I6" s="18"/>
      <c r="J6" s="18" t="s">
        <v>1281</v>
      </c>
      <c r="K6" s="18"/>
      <c r="L6" s="18"/>
      <c r="M6" s="18"/>
      <c r="N6" s="18"/>
    </row>
    <row r="7" spans="1:14" x14ac:dyDescent="0.35">
      <c r="A7" s="13" t="s">
        <v>120</v>
      </c>
      <c r="B7" s="13" t="s">
        <v>121</v>
      </c>
      <c r="C7" s="15" t="s">
        <v>122</v>
      </c>
      <c r="D7" s="13">
        <v>506</v>
      </c>
      <c r="E7" s="13" t="s">
        <v>123</v>
      </c>
      <c r="F7" s="13">
        <v>417</v>
      </c>
      <c r="G7" s="13" t="s">
        <v>16</v>
      </c>
      <c r="H7" s="13" t="s">
        <v>124</v>
      </c>
      <c r="I7" s="18"/>
      <c r="J7" s="18"/>
      <c r="K7" s="18"/>
      <c r="L7" s="18"/>
      <c r="M7" s="18"/>
      <c r="N7" s="18"/>
    </row>
    <row r="8" spans="1:14" x14ac:dyDescent="0.35">
      <c r="A8" s="13" t="s">
        <v>68</v>
      </c>
      <c r="B8" s="13" t="s">
        <v>125</v>
      </c>
      <c r="C8" s="15" t="s">
        <v>126</v>
      </c>
      <c r="D8" s="13">
        <v>212</v>
      </c>
      <c r="E8" s="13" t="s">
        <v>95</v>
      </c>
      <c r="F8" s="13">
        <v>16</v>
      </c>
      <c r="G8" s="13" t="s">
        <v>16</v>
      </c>
      <c r="H8" s="13" t="s">
        <v>30</v>
      </c>
      <c r="I8" s="18"/>
      <c r="J8" s="18"/>
      <c r="K8" s="18"/>
      <c r="L8" s="18"/>
      <c r="M8" s="18"/>
      <c r="N8" s="18"/>
    </row>
    <row r="9" spans="1:14" x14ac:dyDescent="0.35">
      <c r="A9" s="13" t="s">
        <v>127</v>
      </c>
      <c r="B9" s="13" t="s">
        <v>128</v>
      </c>
      <c r="C9" s="15" t="s">
        <v>129</v>
      </c>
      <c r="D9" s="13" t="s">
        <v>108</v>
      </c>
      <c r="E9" s="13" t="s">
        <v>108</v>
      </c>
      <c r="F9" s="13" t="s">
        <v>108</v>
      </c>
      <c r="G9" s="13" t="s">
        <v>130</v>
      </c>
      <c r="H9" s="13" t="s">
        <v>131</v>
      </c>
      <c r="I9" s="18"/>
      <c r="J9" s="18"/>
      <c r="K9" s="18"/>
      <c r="L9" s="18"/>
      <c r="M9" s="18"/>
      <c r="N9" s="18"/>
    </row>
    <row r="10" spans="1:14" x14ac:dyDescent="0.35">
      <c r="A10" s="13" t="s">
        <v>132</v>
      </c>
      <c r="B10" s="13" t="s">
        <v>133</v>
      </c>
      <c r="C10" s="15" t="s">
        <v>134</v>
      </c>
      <c r="D10" s="13">
        <v>254</v>
      </c>
      <c r="E10" s="13" t="s">
        <v>135</v>
      </c>
      <c r="F10" s="13">
        <v>297</v>
      </c>
      <c r="G10" s="13" t="s">
        <v>103</v>
      </c>
      <c r="H10" s="13" t="s">
        <v>136</v>
      </c>
      <c r="I10" s="18"/>
      <c r="J10" s="18"/>
      <c r="K10" s="18"/>
      <c r="L10" s="18"/>
      <c r="M10" s="18"/>
      <c r="N10" s="18"/>
    </row>
    <row r="11" spans="1:14" x14ac:dyDescent="0.35">
      <c r="A11" s="13" t="s">
        <v>137</v>
      </c>
      <c r="B11" s="13" t="s">
        <v>138</v>
      </c>
      <c r="C11" s="15" t="s">
        <v>139</v>
      </c>
      <c r="D11" s="13" t="s">
        <v>108</v>
      </c>
      <c r="E11" s="13" t="s">
        <v>108</v>
      </c>
      <c r="F11" s="13" t="s">
        <v>108</v>
      </c>
      <c r="G11" s="13" t="s">
        <v>103</v>
      </c>
      <c r="H11" s="13" t="s">
        <v>140</v>
      </c>
      <c r="I11" s="18"/>
      <c r="J11" s="18"/>
      <c r="K11" s="18"/>
      <c r="L11" s="18"/>
      <c r="M11" s="18"/>
      <c r="N11" s="18"/>
    </row>
    <row r="12" spans="1:14" x14ac:dyDescent="0.35">
      <c r="A12" s="13" t="s">
        <v>141</v>
      </c>
      <c r="B12" s="13" t="s">
        <v>142</v>
      </c>
      <c r="C12" s="15" t="s">
        <v>143</v>
      </c>
      <c r="D12" s="13" t="s">
        <v>108</v>
      </c>
      <c r="E12" s="13" t="s">
        <v>108</v>
      </c>
      <c r="F12" s="13" t="s">
        <v>108</v>
      </c>
      <c r="G12" s="13" t="s">
        <v>25</v>
      </c>
      <c r="H12" s="13" t="s">
        <v>144</v>
      </c>
      <c r="I12" s="18"/>
      <c r="J12" s="18"/>
      <c r="K12" s="18"/>
      <c r="L12" s="18"/>
      <c r="M12" s="18"/>
      <c r="N12" s="18"/>
    </row>
    <row r="13" spans="1:14" x14ac:dyDescent="0.35">
      <c r="A13" s="13" t="s">
        <v>145</v>
      </c>
      <c r="B13" s="13" t="s">
        <v>146</v>
      </c>
      <c r="C13" s="15" t="s">
        <v>147</v>
      </c>
      <c r="D13" s="13" t="s">
        <v>108</v>
      </c>
      <c r="E13" s="13" t="s">
        <v>108</v>
      </c>
      <c r="F13" s="13" t="s">
        <v>108</v>
      </c>
      <c r="G13" s="13" t="s">
        <v>11</v>
      </c>
      <c r="H13" s="13" t="s">
        <v>148</v>
      </c>
      <c r="I13" s="18"/>
      <c r="J13" s="18"/>
      <c r="K13" s="18"/>
      <c r="L13" s="18"/>
      <c r="M13" s="18"/>
      <c r="N13" s="18"/>
    </row>
    <row r="14" spans="1:14" x14ac:dyDescent="0.35">
      <c r="A14" s="13" t="s">
        <v>149</v>
      </c>
      <c r="B14" s="13" t="s">
        <v>150</v>
      </c>
      <c r="C14" s="15" t="s">
        <v>151</v>
      </c>
      <c r="D14" s="13">
        <v>78</v>
      </c>
      <c r="E14" s="13" t="s">
        <v>33</v>
      </c>
      <c r="F14" s="13">
        <v>77</v>
      </c>
      <c r="G14" s="13" t="s">
        <v>16</v>
      </c>
      <c r="H14" s="13" t="s">
        <v>152</v>
      </c>
      <c r="I14" s="18"/>
      <c r="J14" s="18"/>
      <c r="K14" s="18"/>
      <c r="L14" s="18"/>
      <c r="M14" s="18"/>
      <c r="N14" s="18"/>
    </row>
    <row r="15" spans="1:14" x14ac:dyDescent="0.35">
      <c r="A15" s="13" t="s">
        <v>153</v>
      </c>
      <c r="B15" s="13" t="s">
        <v>154</v>
      </c>
      <c r="C15" s="15" t="s">
        <v>155</v>
      </c>
      <c r="D15" s="13">
        <v>288</v>
      </c>
      <c r="E15" s="13" t="s">
        <v>156</v>
      </c>
      <c r="F15" s="13">
        <v>287</v>
      </c>
      <c r="G15" s="13" t="s">
        <v>11</v>
      </c>
      <c r="H15" s="13" t="s">
        <v>67</v>
      </c>
      <c r="I15" s="18"/>
      <c r="J15" s="18"/>
      <c r="K15" s="18"/>
      <c r="L15" s="18"/>
      <c r="M15" s="18"/>
      <c r="N15" s="18"/>
    </row>
    <row r="16" spans="1:14" x14ac:dyDescent="0.35">
      <c r="A16" s="13" t="s">
        <v>157</v>
      </c>
      <c r="B16" s="13" t="s">
        <v>158</v>
      </c>
      <c r="C16" s="15" t="s">
        <v>159</v>
      </c>
      <c r="D16" s="13" t="s">
        <v>108</v>
      </c>
      <c r="E16" s="13" t="s">
        <v>108</v>
      </c>
      <c r="F16" s="13" t="s">
        <v>108</v>
      </c>
      <c r="G16" s="13" t="s">
        <v>25</v>
      </c>
      <c r="H16" s="13" t="s">
        <v>160</v>
      </c>
      <c r="I16" s="18"/>
      <c r="J16" s="18"/>
      <c r="K16" s="18"/>
      <c r="L16" s="18"/>
      <c r="M16" s="18"/>
      <c r="N16" s="18"/>
    </row>
    <row r="17" spans="1:14" x14ac:dyDescent="0.35">
      <c r="A17" s="18"/>
      <c r="B17" s="18"/>
      <c r="C17" s="19"/>
      <c r="D17" s="18"/>
      <c r="E17" s="18"/>
      <c r="F17" s="18"/>
      <c r="G17" s="18"/>
      <c r="H17" s="18"/>
      <c r="I17" s="18"/>
      <c r="J17" s="18"/>
      <c r="K17" s="18"/>
      <c r="L17" s="18"/>
      <c r="M17" s="18"/>
      <c r="N17" s="1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B6125-121B-4678-B4D4-8090F0164D73}">
  <dimension ref="A1:N17"/>
  <sheetViews>
    <sheetView workbookViewId="0">
      <selection activeCell="C17" sqref="C17"/>
    </sheetView>
  </sheetViews>
  <sheetFormatPr defaultRowHeight="15.5" x14ac:dyDescent="0.35"/>
  <cols>
    <col min="1" max="1" width="28.453125" style="16" bestFit="1" customWidth="1"/>
    <col min="2" max="2" width="16.7265625" style="16" bestFit="1" customWidth="1"/>
    <col min="3" max="3" width="100.26953125" style="17" bestFit="1" customWidth="1"/>
    <col min="4" max="4" width="12.54296875" style="16" bestFit="1" customWidth="1"/>
    <col min="5" max="5" width="42.7265625" style="16" bestFit="1" customWidth="1"/>
    <col min="6" max="6" width="10.26953125" style="16" bestFit="1" customWidth="1"/>
    <col min="7" max="7" width="18.08984375" style="16" bestFit="1" customWidth="1"/>
    <col min="8" max="8" width="26.90625" style="16" bestFit="1" customWidth="1"/>
    <col min="9" max="9" width="24.90625" style="16" bestFit="1" customWidth="1"/>
    <col min="10" max="10" width="36" style="16" bestFit="1" customWidth="1"/>
    <col min="11" max="11" width="11.6328125" style="16" bestFit="1" customWidth="1"/>
    <col min="12" max="12" width="14.36328125" style="16" bestFit="1" customWidth="1"/>
    <col min="13" max="13" width="36.453125" style="16" bestFit="1" customWidth="1"/>
    <col min="14" max="14" width="39.453125" style="16" bestFit="1" customWidth="1"/>
    <col min="15" max="16384" width="8.7265625" style="16"/>
  </cols>
  <sheetData>
    <row r="1" spans="1:14" x14ac:dyDescent="0.35">
      <c r="A1" s="6" t="s">
        <v>0</v>
      </c>
      <c r="B1" s="6" t="s">
        <v>567</v>
      </c>
      <c r="C1" s="14" t="s">
        <v>2</v>
      </c>
      <c r="D1" s="6" t="s">
        <v>3</v>
      </c>
      <c r="E1" s="6" t="s">
        <v>4</v>
      </c>
      <c r="F1" s="6" t="s">
        <v>5</v>
      </c>
      <c r="G1" s="6" t="s">
        <v>6</v>
      </c>
      <c r="H1" s="6" t="s">
        <v>598</v>
      </c>
      <c r="I1" s="9" t="s">
        <v>7</v>
      </c>
      <c r="J1" s="9" t="s">
        <v>599</v>
      </c>
      <c r="K1" s="8" t="s">
        <v>240</v>
      </c>
      <c r="L1" s="8" t="s">
        <v>241</v>
      </c>
      <c r="M1" s="8" t="s">
        <v>579</v>
      </c>
      <c r="N1" s="8" t="s">
        <v>580</v>
      </c>
    </row>
    <row r="2" spans="1:14" ht="42.5" x14ac:dyDescent="0.35">
      <c r="A2" s="13" t="s">
        <v>96</v>
      </c>
      <c r="B2" s="13" t="s">
        <v>573</v>
      </c>
      <c r="C2" s="15" t="s">
        <v>851</v>
      </c>
      <c r="D2" s="13">
        <v>473</v>
      </c>
      <c r="E2" s="13" t="s">
        <v>321</v>
      </c>
      <c r="F2" s="13">
        <v>400</v>
      </c>
      <c r="G2" s="13" t="s">
        <v>25</v>
      </c>
      <c r="H2" s="13" t="s">
        <v>606</v>
      </c>
      <c r="I2" s="18" t="s">
        <v>26</v>
      </c>
      <c r="J2" s="18" t="s">
        <v>607</v>
      </c>
      <c r="K2" s="18" t="s">
        <v>242</v>
      </c>
      <c r="L2" s="18" t="s">
        <v>242</v>
      </c>
      <c r="M2" s="18" t="s">
        <v>587</v>
      </c>
      <c r="N2" s="18" t="s">
        <v>852</v>
      </c>
    </row>
    <row r="3" spans="1:14" ht="28.5" x14ac:dyDescent="0.35">
      <c r="A3" s="13" t="s">
        <v>99</v>
      </c>
      <c r="B3" s="13" t="s">
        <v>573</v>
      </c>
      <c r="C3" s="15" t="s">
        <v>853</v>
      </c>
      <c r="D3" s="13">
        <v>358</v>
      </c>
      <c r="E3" s="13" t="s">
        <v>102</v>
      </c>
      <c r="F3" s="13">
        <v>319</v>
      </c>
      <c r="G3" s="13" t="s">
        <v>103</v>
      </c>
      <c r="H3" s="13" t="s">
        <v>612</v>
      </c>
      <c r="I3" s="18" t="s">
        <v>401</v>
      </c>
      <c r="J3" s="18" t="s">
        <v>854</v>
      </c>
      <c r="K3" s="18" t="s">
        <v>242</v>
      </c>
      <c r="L3" s="18" t="s">
        <v>253</v>
      </c>
      <c r="M3" s="18" t="s">
        <v>581</v>
      </c>
      <c r="N3" s="18" t="s">
        <v>855</v>
      </c>
    </row>
    <row r="4" spans="1:14" ht="28.5" x14ac:dyDescent="0.35">
      <c r="A4" s="13" t="s">
        <v>105</v>
      </c>
      <c r="B4" s="13" t="s">
        <v>568</v>
      </c>
      <c r="C4" s="15" t="s">
        <v>856</v>
      </c>
      <c r="D4" s="13">
        <v>384</v>
      </c>
      <c r="E4" s="13" t="s">
        <v>75</v>
      </c>
      <c r="F4" s="13">
        <v>384</v>
      </c>
      <c r="G4" s="13" t="s">
        <v>118</v>
      </c>
      <c r="H4" s="13" t="s">
        <v>602</v>
      </c>
      <c r="I4" s="18" t="s">
        <v>247</v>
      </c>
      <c r="J4" s="18" t="s">
        <v>601</v>
      </c>
      <c r="K4" s="18" t="s">
        <v>253</v>
      </c>
      <c r="L4" s="18" t="s">
        <v>253</v>
      </c>
      <c r="M4" s="18" t="s">
        <v>627</v>
      </c>
      <c r="N4" s="18" t="s">
        <v>857</v>
      </c>
    </row>
    <row r="5" spans="1:14" ht="28.5" x14ac:dyDescent="0.35">
      <c r="A5" s="13" t="s">
        <v>109</v>
      </c>
      <c r="B5" s="13" t="s">
        <v>573</v>
      </c>
      <c r="C5" s="15" t="s">
        <v>858</v>
      </c>
      <c r="D5" s="13">
        <v>281</v>
      </c>
      <c r="E5" s="13" t="s">
        <v>112</v>
      </c>
      <c r="F5" s="13">
        <v>400</v>
      </c>
      <c r="G5" s="13" t="s">
        <v>118</v>
      </c>
      <c r="H5" s="13" t="s">
        <v>602</v>
      </c>
      <c r="I5" s="18" t="s">
        <v>247</v>
      </c>
      <c r="J5" s="18" t="s">
        <v>601</v>
      </c>
      <c r="K5" s="18" t="s">
        <v>242</v>
      </c>
      <c r="L5" s="18" t="s">
        <v>242</v>
      </c>
      <c r="M5" s="18" t="s">
        <v>581</v>
      </c>
      <c r="N5" s="18" t="s">
        <v>859</v>
      </c>
    </row>
    <row r="6" spans="1:14" ht="28.5" x14ac:dyDescent="0.35">
      <c r="A6" s="13" t="s">
        <v>114</v>
      </c>
      <c r="B6" s="13" t="s">
        <v>568</v>
      </c>
      <c r="C6" s="15" t="s">
        <v>860</v>
      </c>
      <c r="D6" s="13">
        <v>200</v>
      </c>
      <c r="E6" s="13" t="s">
        <v>49</v>
      </c>
      <c r="F6" s="13">
        <v>200</v>
      </c>
      <c r="G6" s="13" t="s">
        <v>118</v>
      </c>
      <c r="H6" s="13" t="s">
        <v>602</v>
      </c>
      <c r="I6" s="18" t="s">
        <v>379</v>
      </c>
      <c r="J6" s="18" t="s">
        <v>1281</v>
      </c>
      <c r="K6" s="18" t="s">
        <v>253</v>
      </c>
      <c r="L6" s="18" t="s">
        <v>242</v>
      </c>
      <c r="M6" s="18" t="s">
        <v>588</v>
      </c>
      <c r="N6" s="18" t="s">
        <v>585</v>
      </c>
    </row>
    <row r="7" spans="1:14" ht="28.5" x14ac:dyDescent="0.35">
      <c r="A7" s="13" t="s">
        <v>120</v>
      </c>
      <c r="B7" s="13" t="s">
        <v>583</v>
      </c>
      <c r="C7" s="15" t="s">
        <v>861</v>
      </c>
      <c r="D7" s="13">
        <v>456</v>
      </c>
      <c r="E7" s="13" t="s">
        <v>862</v>
      </c>
      <c r="F7" s="13">
        <v>507</v>
      </c>
      <c r="G7" s="13" t="s">
        <v>118</v>
      </c>
      <c r="H7" s="13" t="s">
        <v>602</v>
      </c>
      <c r="I7" s="18" t="s">
        <v>379</v>
      </c>
      <c r="J7" s="18" t="s">
        <v>712</v>
      </c>
      <c r="K7" s="18" t="s">
        <v>242</v>
      </c>
      <c r="L7" s="18" t="s">
        <v>253</v>
      </c>
      <c r="M7" s="18" t="s">
        <v>588</v>
      </c>
      <c r="N7" s="18" t="s">
        <v>589</v>
      </c>
    </row>
    <row r="8" spans="1:14" ht="28.5" x14ac:dyDescent="0.35">
      <c r="A8" s="13" t="s">
        <v>68</v>
      </c>
      <c r="B8" s="13" t="s">
        <v>573</v>
      </c>
      <c r="C8" s="15" t="s">
        <v>863</v>
      </c>
      <c r="D8" s="13">
        <v>346</v>
      </c>
      <c r="E8" s="13" t="s">
        <v>74</v>
      </c>
      <c r="F8" s="13">
        <v>250</v>
      </c>
      <c r="G8" s="13" t="s">
        <v>118</v>
      </c>
      <c r="H8" s="13" t="s">
        <v>602</v>
      </c>
      <c r="I8" s="18" t="s">
        <v>379</v>
      </c>
      <c r="J8" s="18" t="s">
        <v>712</v>
      </c>
      <c r="K8" s="18" t="s">
        <v>242</v>
      </c>
      <c r="L8" s="18" t="s">
        <v>242</v>
      </c>
      <c r="M8" s="18" t="s">
        <v>584</v>
      </c>
      <c r="N8" s="18" t="s">
        <v>586</v>
      </c>
    </row>
    <row r="9" spans="1:14" ht="28.5" x14ac:dyDescent="0.35">
      <c r="A9" s="13" t="s">
        <v>127</v>
      </c>
      <c r="B9" s="13" t="s">
        <v>573</v>
      </c>
      <c r="C9" s="15" t="s">
        <v>864</v>
      </c>
      <c r="D9" s="13">
        <v>153</v>
      </c>
      <c r="E9" s="13" t="s">
        <v>865</v>
      </c>
      <c r="F9" s="13">
        <v>319</v>
      </c>
      <c r="G9" s="13" t="s">
        <v>103</v>
      </c>
      <c r="H9" s="13" t="s">
        <v>612</v>
      </c>
      <c r="I9" s="18" t="s">
        <v>866</v>
      </c>
      <c r="J9" s="18" t="s">
        <v>867</v>
      </c>
      <c r="K9" s="18" t="s">
        <v>253</v>
      </c>
      <c r="L9" s="18" t="s">
        <v>260</v>
      </c>
      <c r="M9" s="18" t="s">
        <v>581</v>
      </c>
      <c r="N9" s="18" t="s">
        <v>585</v>
      </c>
    </row>
    <row r="10" spans="1:14" ht="28.5" x14ac:dyDescent="0.35">
      <c r="A10" s="13" t="s">
        <v>132</v>
      </c>
      <c r="B10" s="13" t="s">
        <v>573</v>
      </c>
      <c r="C10" s="15" t="s">
        <v>868</v>
      </c>
      <c r="D10" s="13">
        <v>463</v>
      </c>
      <c r="E10" s="13" t="s">
        <v>869</v>
      </c>
      <c r="F10" s="13">
        <v>310</v>
      </c>
      <c r="G10" s="13" t="s">
        <v>103</v>
      </c>
      <c r="H10" s="13" t="s">
        <v>612</v>
      </c>
      <c r="I10" s="18" t="s">
        <v>870</v>
      </c>
      <c r="J10" s="18" t="s">
        <v>871</v>
      </c>
      <c r="K10" s="18" t="s">
        <v>242</v>
      </c>
      <c r="L10" s="18" t="s">
        <v>253</v>
      </c>
      <c r="M10" s="18" t="s">
        <v>627</v>
      </c>
      <c r="N10" s="18" t="s">
        <v>585</v>
      </c>
    </row>
    <row r="11" spans="1:14" ht="28.5" x14ac:dyDescent="0.35">
      <c r="A11" s="13" t="s">
        <v>137</v>
      </c>
      <c r="B11" s="13" t="s">
        <v>573</v>
      </c>
      <c r="C11" s="15" t="s">
        <v>872</v>
      </c>
      <c r="D11" s="13">
        <v>593</v>
      </c>
      <c r="E11" s="13" t="s">
        <v>426</v>
      </c>
      <c r="F11" s="13">
        <v>310</v>
      </c>
      <c r="G11" s="13" t="s">
        <v>103</v>
      </c>
      <c r="H11" s="13" t="s">
        <v>612</v>
      </c>
      <c r="I11" s="18" t="s">
        <v>401</v>
      </c>
      <c r="J11" s="18" t="s">
        <v>854</v>
      </c>
      <c r="K11" s="18" t="s">
        <v>242</v>
      </c>
      <c r="L11" s="18" t="s">
        <v>253</v>
      </c>
      <c r="M11" s="18" t="s">
        <v>581</v>
      </c>
      <c r="N11" s="18" t="s">
        <v>591</v>
      </c>
    </row>
    <row r="12" spans="1:14" ht="28.5" x14ac:dyDescent="0.35">
      <c r="A12" s="13" t="s">
        <v>141</v>
      </c>
      <c r="B12" s="13" t="s">
        <v>573</v>
      </c>
      <c r="C12" s="15" t="s">
        <v>873</v>
      </c>
      <c r="D12" s="13">
        <v>645</v>
      </c>
      <c r="E12" s="13" t="s">
        <v>874</v>
      </c>
      <c r="F12" s="13">
        <v>400</v>
      </c>
      <c r="G12" s="13" t="s">
        <v>25</v>
      </c>
      <c r="H12" s="13" t="s">
        <v>606</v>
      </c>
      <c r="I12" s="18" t="s">
        <v>26</v>
      </c>
      <c r="J12" s="18" t="s">
        <v>607</v>
      </c>
      <c r="K12" s="18" t="s">
        <v>242</v>
      </c>
      <c r="L12" s="18" t="s">
        <v>242</v>
      </c>
      <c r="M12" s="18" t="s">
        <v>587</v>
      </c>
      <c r="N12" s="18" t="s">
        <v>591</v>
      </c>
    </row>
    <row r="13" spans="1:14" ht="28.5" x14ac:dyDescent="0.35">
      <c r="A13" s="13" t="s">
        <v>145</v>
      </c>
      <c r="B13" s="13" t="s">
        <v>568</v>
      </c>
      <c r="C13" s="15" t="s">
        <v>875</v>
      </c>
      <c r="D13" s="13">
        <v>650</v>
      </c>
      <c r="E13" s="13" t="s">
        <v>301</v>
      </c>
      <c r="F13" s="13">
        <v>472</v>
      </c>
      <c r="G13" s="13" t="s">
        <v>118</v>
      </c>
      <c r="H13" s="13" t="s">
        <v>602</v>
      </c>
      <c r="I13" s="18" t="s">
        <v>247</v>
      </c>
      <c r="J13" s="18" t="s">
        <v>601</v>
      </c>
      <c r="K13" s="18" t="s">
        <v>253</v>
      </c>
      <c r="L13" s="18" t="s">
        <v>242</v>
      </c>
      <c r="M13" s="18" t="s">
        <v>584</v>
      </c>
      <c r="N13" s="18" t="s">
        <v>585</v>
      </c>
    </row>
    <row r="14" spans="1:14" ht="28.5" x14ac:dyDescent="0.35">
      <c r="A14" s="13" t="s">
        <v>149</v>
      </c>
      <c r="B14" s="13" t="s">
        <v>583</v>
      </c>
      <c r="C14" s="15" t="s">
        <v>876</v>
      </c>
      <c r="D14" s="13">
        <v>88</v>
      </c>
      <c r="E14" s="13" t="s">
        <v>224</v>
      </c>
      <c r="F14" s="13">
        <v>77</v>
      </c>
      <c r="G14" s="13" t="s">
        <v>16</v>
      </c>
      <c r="H14" s="13" t="s">
        <v>877</v>
      </c>
      <c r="I14" s="18" t="s">
        <v>574</v>
      </c>
      <c r="J14" s="18" t="s">
        <v>608</v>
      </c>
      <c r="K14" s="18" t="s">
        <v>242</v>
      </c>
      <c r="L14" s="18" t="s">
        <v>242</v>
      </c>
      <c r="M14" s="18" t="s">
        <v>627</v>
      </c>
      <c r="N14" s="18" t="s">
        <v>591</v>
      </c>
    </row>
    <row r="15" spans="1:14" ht="28.5" x14ac:dyDescent="0.35">
      <c r="A15" s="13" t="s">
        <v>153</v>
      </c>
      <c r="B15" s="13" t="s">
        <v>568</v>
      </c>
      <c r="C15" s="15" t="s">
        <v>878</v>
      </c>
      <c r="D15" s="13">
        <v>288</v>
      </c>
      <c r="E15" s="13" t="s">
        <v>156</v>
      </c>
      <c r="F15" s="13">
        <v>287</v>
      </c>
      <c r="G15" s="13" t="s">
        <v>11</v>
      </c>
      <c r="H15" s="13" t="s">
        <v>600</v>
      </c>
      <c r="I15" s="18" t="s">
        <v>247</v>
      </c>
      <c r="J15" s="18" t="s">
        <v>601</v>
      </c>
      <c r="K15" s="18" t="s">
        <v>242</v>
      </c>
      <c r="L15" s="18" t="s">
        <v>242</v>
      </c>
      <c r="M15" s="18" t="s">
        <v>618</v>
      </c>
      <c r="N15" s="18" t="s">
        <v>586</v>
      </c>
    </row>
    <row r="16" spans="1:14" ht="28.5" x14ac:dyDescent="0.35">
      <c r="A16" s="13" t="s">
        <v>157</v>
      </c>
      <c r="B16" s="13" t="s">
        <v>583</v>
      </c>
      <c r="C16" s="15" t="s">
        <v>879</v>
      </c>
      <c r="D16" s="13">
        <v>15</v>
      </c>
      <c r="E16" s="13" t="s">
        <v>880</v>
      </c>
      <c r="F16" s="13">
        <v>16</v>
      </c>
      <c r="G16" s="13" t="s">
        <v>881</v>
      </c>
      <c r="H16" s="13" t="s">
        <v>882</v>
      </c>
      <c r="I16" s="18" t="s">
        <v>276</v>
      </c>
      <c r="J16" s="18" t="s">
        <v>883</v>
      </c>
      <c r="K16" s="18" t="s">
        <v>242</v>
      </c>
      <c r="L16" s="18" t="s">
        <v>253</v>
      </c>
      <c r="M16" s="18" t="s">
        <v>705</v>
      </c>
      <c r="N16" s="18" t="s">
        <v>597</v>
      </c>
    </row>
    <row r="17" spans="1:14" x14ac:dyDescent="0.35">
      <c r="A17" s="18"/>
      <c r="B17" s="18"/>
      <c r="C17" s="19"/>
      <c r="D17" s="18"/>
      <c r="E17" s="18"/>
      <c r="F17" s="18"/>
      <c r="G17" s="18"/>
      <c r="H17" s="18"/>
      <c r="I17" s="18"/>
      <c r="J17" s="18"/>
      <c r="K17" s="18"/>
      <c r="L17" s="18"/>
      <c r="M17" s="18"/>
      <c r="N17" s="18"/>
    </row>
  </sheetData>
  <autoFilter ref="A1:N1" xr:uid="{D53B6125-121B-4678-B4D4-8090F0164D73}">
    <sortState xmlns:xlrd2="http://schemas.microsoft.com/office/spreadsheetml/2017/richdata2" ref="A2:N2">
      <sortCondition ref="A1"/>
    </sortState>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7885E1-E643-4DD2-9694-8E8EEB4FD14D}">
  <dimension ref="A1:N22"/>
  <sheetViews>
    <sheetView workbookViewId="0">
      <selection activeCell="C17" sqref="C17"/>
    </sheetView>
  </sheetViews>
  <sheetFormatPr defaultRowHeight="15.5" x14ac:dyDescent="0.35"/>
  <cols>
    <col min="1" max="1" width="38.1796875" style="16" bestFit="1" customWidth="1"/>
    <col min="2" max="2" width="44.54296875" style="16" bestFit="1" customWidth="1"/>
    <col min="3" max="3" width="91.54296875" style="17" bestFit="1" customWidth="1"/>
    <col min="4" max="4" width="10.26953125" style="16" bestFit="1" customWidth="1"/>
    <col min="5" max="5" width="48.26953125" style="16" bestFit="1" customWidth="1"/>
    <col min="6" max="6" width="8" style="16" bestFit="1" customWidth="1"/>
    <col min="7" max="7" width="15.81640625" style="16" bestFit="1" customWidth="1"/>
    <col min="8" max="8" width="20" style="16" bestFit="1" customWidth="1"/>
    <col min="9" max="9" width="8.7265625" style="16"/>
    <col min="10" max="10" width="1.7265625" style="16" bestFit="1" customWidth="1"/>
    <col min="11" max="16384" width="8.7265625" style="16"/>
  </cols>
  <sheetData>
    <row r="1" spans="1:14" x14ac:dyDescent="0.35">
      <c r="A1" s="6" t="s">
        <v>0</v>
      </c>
      <c r="B1" s="6" t="s">
        <v>1</v>
      </c>
      <c r="C1" s="14" t="s">
        <v>2</v>
      </c>
      <c r="D1" s="6" t="s">
        <v>3</v>
      </c>
      <c r="E1" s="6" t="s">
        <v>4</v>
      </c>
      <c r="F1" s="6" t="s">
        <v>5</v>
      </c>
      <c r="G1" s="6" t="s">
        <v>6</v>
      </c>
      <c r="H1" s="6" t="s">
        <v>7</v>
      </c>
      <c r="I1" s="9"/>
      <c r="J1" s="9"/>
      <c r="K1" s="8"/>
      <c r="L1" s="8"/>
      <c r="M1" s="8"/>
      <c r="N1" s="8"/>
    </row>
    <row r="2" spans="1:14" ht="28.5" x14ac:dyDescent="0.35">
      <c r="A2" s="13" t="s">
        <v>161</v>
      </c>
      <c r="B2" s="13" t="s">
        <v>162</v>
      </c>
      <c r="C2" s="15" t="s">
        <v>202</v>
      </c>
      <c r="D2" s="13">
        <v>19</v>
      </c>
      <c r="E2" s="13" t="s">
        <v>163</v>
      </c>
      <c r="F2" s="13">
        <v>94</v>
      </c>
      <c r="G2" s="13" t="s">
        <v>16</v>
      </c>
      <c r="H2" s="13" t="s">
        <v>164</v>
      </c>
      <c r="I2" s="18"/>
      <c r="J2" s="18"/>
      <c r="K2" s="18"/>
      <c r="L2" s="18"/>
      <c r="M2" s="18"/>
      <c r="N2" s="18"/>
    </row>
    <row r="3" spans="1:14" ht="28.5" x14ac:dyDescent="0.35">
      <c r="A3" s="13" t="s">
        <v>18</v>
      </c>
      <c r="B3" s="13" t="s">
        <v>165</v>
      </c>
      <c r="C3" s="15" t="s">
        <v>203</v>
      </c>
      <c r="D3" s="13">
        <v>126</v>
      </c>
      <c r="E3" s="13" t="s">
        <v>72</v>
      </c>
      <c r="F3" s="13">
        <v>22</v>
      </c>
      <c r="G3" s="13" t="s">
        <v>16</v>
      </c>
      <c r="H3" s="13" t="s">
        <v>166</v>
      </c>
      <c r="I3" s="18"/>
      <c r="J3" s="18"/>
      <c r="K3" s="18"/>
      <c r="L3" s="18"/>
      <c r="M3" s="18"/>
      <c r="N3" s="18"/>
    </row>
    <row r="4" spans="1:14" ht="28.5" x14ac:dyDescent="0.35">
      <c r="A4" s="13" t="s">
        <v>8</v>
      </c>
      <c r="B4" s="13" t="s">
        <v>167</v>
      </c>
      <c r="C4" s="15" t="s">
        <v>204</v>
      </c>
      <c r="D4" s="13">
        <v>66</v>
      </c>
      <c r="E4" s="13" t="s">
        <v>10</v>
      </c>
      <c r="F4" s="13">
        <v>89</v>
      </c>
      <c r="G4" s="13" t="s">
        <v>16</v>
      </c>
      <c r="H4" s="13" t="s">
        <v>168</v>
      </c>
      <c r="I4" s="18"/>
      <c r="J4" s="18"/>
      <c r="K4" s="18"/>
      <c r="L4" s="18"/>
      <c r="M4" s="18"/>
      <c r="N4" s="18"/>
    </row>
    <row r="5" spans="1:14" ht="28.5" x14ac:dyDescent="0.35">
      <c r="A5" s="13" t="s">
        <v>169</v>
      </c>
      <c r="B5" s="13" t="s">
        <v>170</v>
      </c>
      <c r="C5" s="15" t="s">
        <v>205</v>
      </c>
      <c r="D5" s="13">
        <v>611</v>
      </c>
      <c r="E5" s="13" t="s">
        <v>53</v>
      </c>
      <c r="F5" s="13">
        <v>611</v>
      </c>
      <c r="G5" s="13" t="s">
        <v>16</v>
      </c>
      <c r="H5" s="13" t="s">
        <v>54</v>
      </c>
      <c r="I5" s="18"/>
      <c r="J5" s="18"/>
      <c r="K5" s="18"/>
      <c r="L5" s="18"/>
      <c r="M5" s="18"/>
      <c r="N5" s="18"/>
    </row>
    <row r="6" spans="1:14" ht="28.5" x14ac:dyDescent="0.35">
      <c r="A6" s="13" t="s">
        <v>171</v>
      </c>
      <c r="B6" s="13" t="s">
        <v>172</v>
      </c>
      <c r="C6" s="15" t="s">
        <v>206</v>
      </c>
      <c r="D6" s="13">
        <v>502</v>
      </c>
      <c r="E6" s="13" t="s">
        <v>62</v>
      </c>
      <c r="F6" s="13">
        <v>502</v>
      </c>
      <c r="G6" s="13" t="s">
        <v>16</v>
      </c>
      <c r="H6" s="13" t="s">
        <v>164</v>
      </c>
      <c r="I6" s="18"/>
      <c r="J6" s="18" t="s">
        <v>1281</v>
      </c>
      <c r="K6" s="18"/>
      <c r="L6" s="18"/>
      <c r="M6" s="18"/>
      <c r="N6" s="18"/>
    </row>
    <row r="7" spans="1:14" ht="28.5" x14ac:dyDescent="0.35">
      <c r="A7" s="13" t="s">
        <v>173</v>
      </c>
      <c r="B7" s="13" t="s">
        <v>174</v>
      </c>
      <c r="C7" s="15" t="s">
        <v>207</v>
      </c>
      <c r="D7" s="13">
        <v>918</v>
      </c>
      <c r="E7" s="13" t="s">
        <v>175</v>
      </c>
      <c r="F7" s="13">
        <v>918</v>
      </c>
      <c r="G7" s="13" t="s">
        <v>16</v>
      </c>
      <c r="H7" s="13" t="s">
        <v>46</v>
      </c>
      <c r="I7" s="18"/>
      <c r="J7" s="18"/>
      <c r="K7" s="18"/>
      <c r="L7" s="18"/>
      <c r="M7" s="18"/>
      <c r="N7" s="18"/>
    </row>
    <row r="8" spans="1:14" ht="28.5" x14ac:dyDescent="0.35">
      <c r="A8" s="13" t="s">
        <v>176</v>
      </c>
      <c r="B8" s="13" t="s">
        <v>177</v>
      </c>
      <c r="C8" s="15" t="s">
        <v>208</v>
      </c>
      <c r="D8" s="13">
        <v>472</v>
      </c>
      <c r="E8" s="13" t="s">
        <v>178</v>
      </c>
      <c r="F8" s="13">
        <v>639</v>
      </c>
      <c r="G8" s="13" t="s">
        <v>38</v>
      </c>
      <c r="H8" s="13" t="s">
        <v>179</v>
      </c>
      <c r="I8" s="18"/>
      <c r="J8" s="18"/>
      <c r="K8" s="18"/>
      <c r="L8" s="18"/>
      <c r="M8" s="18"/>
      <c r="N8" s="18"/>
    </row>
    <row r="9" spans="1:14" ht="28.5" x14ac:dyDescent="0.35">
      <c r="A9" s="13" t="s">
        <v>180</v>
      </c>
      <c r="B9" s="13" t="s">
        <v>181</v>
      </c>
      <c r="C9" s="15" t="s">
        <v>209</v>
      </c>
      <c r="D9" s="13">
        <v>100</v>
      </c>
      <c r="E9" s="13" t="s">
        <v>182</v>
      </c>
      <c r="F9" s="13">
        <v>120</v>
      </c>
      <c r="G9" s="13" t="s">
        <v>16</v>
      </c>
      <c r="H9" s="13" t="s">
        <v>164</v>
      </c>
      <c r="I9" s="18"/>
      <c r="J9" s="18"/>
      <c r="K9" s="18"/>
      <c r="L9" s="18"/>
      <c r="M9" s="18"/>
      <c r="N9" s="18"/>
    </row>
    <row r="10" spans="1:14" ht="28.5" x14ac:dyDescent="0.35">
      <c r="A10" s="13" t="s">
        <v>183</v>
      </c>
      <c r="B10" s="13" t="s">
        <v>184</v>
      </c>
      <c r="C10" s="15" t="s">
        <v>210</v>
      </c>
      <c r="D10" s="13">
        <v>79</v>
      </c>
      <c r="E10" s="13" t="s">
        <v>71</v>
      </c>
      <c r="F10" s="13">
        <v>79</v>
      </c>
      <c r="G10" s="13" t="s">
        <v>16</v>
      </c>
      <c r="H10" s="13" t="s">
        <v>17</v>
      </c>
      <c r="I10" s="18"/>
      <c r="J10" s="18"/>
      <c r="K10" s="18"/>
      <c r="L10" s="18"/>
      <c r="M10" s="18"/>
      <c r="N10" s="18"/>
    </row>
    <row r="11" spans="1:14" ht="28.5" x14ac:dyDescent="0.35">
      <c r="A11" s="13" t="s">
        <v>185</v>
      </c>
      <c r="B11" s="13" t="s">
        <v>186</v>
      </c>
      <c r="C11" s="15" t="s">
        <v>211</v>
      </c>
      <c r="D11" s="13">
        <v>62</v>
      </c>
      <c r="E11" s="13" t="s">
        <v>37</v>
      </c>
      <c r="F11" s="13">
        <v>352</v>
      </c>
      <c r="G11" s="13" t="s">
        <v>16</v>
      </c>
      <c r="H11" s="13" t="s">
        <v>187</v>
      </c>
      <c r="I11" s="18"/>
      <c r="J11" s="18"/>
      <c r="K11" s="18"/>
      <c r="L11" s="18"/>
      <c r="M11" s="18"/>
      <c r="N11" s="18"/>
    </row>
    <row r="12" spans="1:14" ht="28.5" x14ac:dyDescent="0.35">
      <c r="A12" s="13" t="s">
        <v>188</v>
      </c>
      <c r="B12" s="13" t="s">
        <v>189</v>
      </c>
      <c r="C12" s="15" t="s">
        <v>212</v>
      </c>
      <c r="D12" s="13">
        <v>115</v>
      </c>
      <c r="E12" s="13" t="s">
        <v>190</v>
      </c>
      <c r="F12" s="13" t="s">
        <v>108</v>
      </c>
      <c r="G12" s="13" t="s">
        <v>16</v>
      </c>
      <c r="H12" s="13" t="s">
        <v>46</v>
      </c>
      <c r="I12" s="18"/>
      <c r="J12" s="18"/>
      <c r="K12" s="18"/>
      <c r="L12" s="18"/>
      <c r="M12" s="18"/>
      <c r="N12" s="18"/>
    </row>
    <row r="13" spans="1:14" ht="28.5" x14ac:dyDescent="0.35">
      <c r="A13" s="13" t="s">
        <v>40</v>
      </c>
      <c r="B13" s="13" t="s">
        <v>191</v>
      </c>
      <c r="C13" s="15" t="s">
        <v>213</v>
      </c>
      <c r="D13" s="13">
        <v>592</v>
      </c>
      <c r="E13" s="13" t="s">
        <v>192</v>
      </c>
      <c r="F13" s="13">
        <v>384</v>
      </c>
      <c r="G13" s="13" t="s">
        <v>16</v>
      </c>
      <c r="H13" s="13" t="s">
        <v>193</v>
      </c>
      <c r="I13" s="18"/>
      <c r="J13" s="18"/>
      <c r="K13" s="18"/>
      <c r="L13" s="18"/>
      <c r="M13" s="18"/>
      <c r="N13" s="18"/>
    </row>
    <row r="14" spans="1:14" x14ac:dyDescent="0.35">
      <c r="A14" s="13" t="s">
        <v>55</v>
      </c>
      <c r="B14" s="13" t="s">
        <v>194</v>
      </c>
      <c r="C14" s="15" t="s">
        <v>214</v>
      </c>
      <c r="D14" s="13">
        <v>94</v>
      </c>
      <c r="E14" s="13" t="s">
        <v>57</v>
      </c>
      <c r="F14" s="13">
        <v>300</v>
      </c>
      <c r="G14" s="13" t="s">
        <v>103</v>
      </c>
      <c r="H14" s="13" t="s">
        <v>104</v>
      </c>
      <c r="I14" s="18"/>
      <c r="J14" s="18"/>
      <c r="K14" s="18"/>
      <c r="L14" s="18"/>
      <c r="M14" s="18"/>
      <c r="N14" s="18"/>
    </row>
    <row r="15" spans="1:14" x14ac:dyDescent="0.35">
      <c r="A15" s="13" t="s">
        <v>195</v>
      </c>
      <c r="B15" s="13" t="s">
        <v>196</v>
      </c>
      <c r="C15" s="15" t="s">
        <v>215</v>
      </c>
      <c r="D15" s="13">
        <v>285</v>
      </c>
      <c r="E15" s="13" t="s">
        <v>197</v>
      </c>
      <c r="F15" s="13" t="s">
        <v>108</v>
      </c>
      <c r="G15" s="13" t="s">
        <v>16</v>
      </c>
      <c r="H15" s="13" t="s">
        <v>198</v>
      </c>
      <c r="I15" s="18"/>
      <c r="J15" s="18"/>
      <c r="K15" s="18"/>
      <c r="L15" s="18"/>
      <c r="M15" s="18"/>
      <c r="N15" s="18"/>
    </row>
    <row r="16" spans="1:14" ht="28.5" x14ac:dyDescent="0.35">
      <c r="A16" s="13" t="s">
        <v>199</v>
      </c>
      <c r="B16" s="13" t="s">
        <v>216</v>
      </c>
      <c r="C16" s="15" t="s">
        <v>217</v>
      </c>
      <c r="D16" s="13">
        <v>298</v>
      </c>
      <c r="E16" s="13" t="s">
        <v>200</v>
      </c>
      <c r="F16" s="13">
        <v>223</v>
      </c>
      <c r="G16" s="13" t="s">
        <v>25</v>
      </c>
      <c r="H16" s="13" t="s">
        <v>201</v>
      </c>
      <c r="I16" s="18"/>
      <c r="J16" s="18"/>
      <c r="K16" s="18"/>
      <c r="L16" s="18"/>
      <c r="M16" s="18"/>
      <c r="N16" s="18"/>
    </row>
    <row r="17" spans="1:14" x14ac:dyDescent="0.35">
      <c r="A17" s="18" t="s">
        <v>218</v>
      </c>
      <c r="B17" s="18" t="s">
        <v>219</v>
      </c>
      <c r="C17" s="19" t="s">
        <v>220</v>
      </c>
      <c r="D17" s="18">
        <v>233</v>
      </c>
      <c r="E17" s="18" t="s">
        <v>221</v>
      </c>
      <c r="F17" s="18" t="s">
        <v>108</v>
      </c>
      <c r="G17" s="18" t="s">
        <v>16</v>
      </c>
      <c r="H17" s="18" t="s">
        <v>46</v>
      </c>
      <c r="I17" s="18"/>
      <c r="J17" s="18"/>
      <c r="K17" s="18"/>
      <c r="L17" s="18"/>
      <c r="M17" s="18"/>
      <c r="N17" s="18"/>
    </row>
    <row r="18" spans="1:14" ht="31" x14ac:dyDescent="0.35">
      <c r="A18" s="16" t="s">
        <v>149</v>
      </c>
      <c r="B18" s="16" t="s">
        <v>222</v>
      </c>
      <c r="C18" s="17" t="s">
        <v>223</v>
      </c>
      <c r="D18" s="16">
        <v>88</v>
      </c>
      <c r="E18" s="16" t="s">
        <v>224</v>
      </c>
      <c r="F18" s="16">
        <v>77</v>
      </c>
      <c r="G18" s="16" t="s">
        <v>16</v>
      </c>
      <c r="H18" s="16" t="s">
        <v>164</v>
      </c>
    </row>
    <row r="19" spans="1:14" ht="31" x14ac:dyDescent="0.35">
      <c r="A19" s="16" t="s">
        <v>225</v>
      </c>
      <c r="B19" s="16" t="s">
        <v>226</v>
      </c>
      <c r="C19" s="17" t="s">
        <v>227</v>
      </c>
      <c r="D19" s="16">
        <v>400</v>
      </c>
      <c r="E19" s="16" t="s">
        <v>24</v>
      </c>
      <c r="F19" s="16" t="s">
        <v>108</v>
      </c>
      <c r="G19" s="16" t="s">
        <v>25</v>
      </c>
      <c r="H19" s="16" t="s">
        <v>26</v>
      </c>
    </row>
    <row r="20" spans="1:14" ht="31" x14ac:dyDescent="0.35">
      <c r="A20" s="16" t="s">
        <v>64</v>
      </c>
      <c r="B20" s="16" t="s">
        <v>228</v>
      </c>
      <c r="C20" s="17" t="s">
        <v>229</v>
      </c>
      <c r="D20" s="16">
        <v>287</v>
      </c>
      <c r="E20" s="16" t="s">
        <v>66</v>
      </c>
      <c r="F20" s="16" t="s">
        <v>108</v>
      </c>
      <c r="G20" s="16" t="s">
        <v>16</v>
      </c>
      <c r="H20" s="16" t="s">
        <v>198</v>
      </c>
    </row>
    <row r="21" spans="1:14" ht="31" x14ac:dyDescent="0.35">
      <c r="A21" s="16" t="s">
        <v>230</v>
      </c>
      <c r="B21" s="16" t="s">
        <v>231</v>
      </c>
      <c r="C21" s="17" t="s">
        <v>232</v>
      </c>
      <c r="D21" s="16">
        <v>798</v>
      </c>
      <c r="E21" s="16" t="s">
        <v>233</v>
      </c>
      <c r="F21" s="16">
        <v>798</v>
      </c>
      <c r="G21" s="16" t="s">
        <v>234</v>
      </c>
      <c r="H21" s="16" t="s">
        <v>235</v>
      </c>
    </row>
    <row r="22" spans="1:14" ht="31" x14ac:dyDescent="0.35">
      <c r="A22" s="16" t="s">
        <v>236</v>
      </c>
      <c r="B22" s="16" t="s">
        <v>237</v>
      </c>
      <c r="C22" s="17" t="s">
        <v>238</v>
      </c>
      <c r="D22" s="16">
        <v>595</v>
      </c>
      <c r="E22" s="16" t="s">
        <v>239</v>
      </c>
      <c r="F22" s="16">
        <v>400</v>
      </c>
      <c r="G22" s="16" t="s">
        <v>25</v>
      </c>
      <c r="H22" s="16" t="s">
        <v>26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E1298-F2AB-4EC6-B223-FB4850ECBD04}">
  <dimension ref="A1:N21"/>
  <sheetViews>
    <sheetView workbookViewId="0">
      <selection activeCell="C17" sqref="C17"/>
    </sheetView>
  </sheetViews>
  <sheetFormatPr defaultRowHeight="15.5" x14ac:dyDescent="0.35"/>
  <cols>
    <col min="1" max="1" width="39.26953125" style="16" bestFit="1" customWidth="1"/>
    <col min="2" max="2" width="14.453125" style="16" bestFit="1" customWidth="1"/>
    <col min="3" max="3" width="180.453125" style="17" bestFit="1" customWidth="1"/>
    <col min="4" max="4" width="10.26953125" style="16" bestFit="1" customWidth="1"/>
    <col min="5" max="5" width="48.26953125" style="16" bestFit="1" customWidth="1"/>
    <col min="6" max="6" width="8" style="16" bestFit="1" customWidth="1"/>
    <col min="7" max="7" width="15.81640625" style="16" bestFit="1" customWidth="1"/>
    <col min="8" max="8" width="24.6328125" style="16" bestFit="1" customWidth="1"/>
    <col min="9" max="9" width="22.6328125" style="16" bestFit="1" customWidth="1"/>
    <col min="10" max="10" width="63.1796875" style="16" bestFit="1" customWidth="1"/>
    <col min="11" max="11" width="9.36328125" style="16" bestFit="1" customWidth="1"/>
    <col min="12" max="12" width="12.08984375" style="16" bestFit="1" customWidth="1"/>
    <col min="13" max="13" width="38.6328125" style="16" bestFit="1" customWidth="1"/>
    <col min="14" max="14" width="39.1796875" style="16" bestFit="1" customWidth="1"/>
    <col min="15" max="16384" width="8.7265625" style="16"/>
  </cols>
  <sheetData>
    <row r="1" spans="1:14" x14ac:dyDescent="0.35">
      <c r="A1" s="6" t="s">
        <v>0</v>
      </c>
      <c r="B1" s="6" t="s">
        <v>567</v>
      </c>
      <c r="C1" s="14" t="s">
        <v>2</v>
      </c>
      <c r="D1" s="6" t="s">
        <v>3</v>
      </c>
      <c r="E1" s="6" t="s">
        <v>4</v>
      </c>
      <c r="F1" s="6" t="s">
        <v>5</v>
      </c>
      <c r="G1" s="6" t="s">
        <v>6</v>
      </c>
      <c r="H1" s="6" t="s">
        <v>598</v>
      </c>
      <c r="I1" s="9" t="s">
        <v>7</v>
      </c>
      <c r="J1" s="9" t="s">
        <v>599</v>
      </c>
      <c r="K1" s="8" t="s">
        <v>240</v>
      </c>
      <c r="L1" s="8" t="s">
        <v>241</v>
      </c>
      <c r="M1" s="8" t="s">
        <v>579</v>
      </c>
      <c r="N1" s="8" t="s">
        <v>580</v>
      </c>
    </row>
    <row r="2" spans="1:14" x14ac:dyDescent="0.35">
      <c r="A2" s="13" t="s">
        <v>614</v>
      </c>
      <c r="B2" s="13" t="s">
        <v>583</v>
      </c>
      <c r="C2" s="15" t="s">
        <v>615</v>
      </c>
      <c r="D2" s="13">
        <v>502</v>
      </c>
      <c r="E2" s="13" t="s">
        <v>62</v>
      </c>
      <c r="F2" s="13">
        <v>502</v>
      </c>
      <c r="G2" s="13" t="s">
        <v>11</v>
      </c>
      <c r="H2" s="13" t="s">
        <v>600</v>
      </c>
      <c r="I2" s="18" t="s">
        <v>577</v>
      </c>
      <c r="J2" s="18" t="s">
        <v>611</v>
      </c>
      <c r="K2" s="18" t="s">
        <v>242</v>
      </c>
      <c r="L2" s="18" t="s">
        <v>253</v>
      </c>
      <c r="M2" s="18" t="s">
        <v>592</v>
      </c>
      <c r="N2" s="18"/>
    </row>
    <row r="3" spans="1:14" x14ac:dyDescent="0.35">
      <c r="A3" s="13" t="s">
        <v>616</v>
      </c>
      <c r="B3" s="13" t="s">
        <v>583</v>
      </c>
      <c r="C3" s="15" t="s">
        <v>632</v>
      </c>
      <c r="D3" s="13">
        <v>287</v>
      </c>
      <c r="E3" s="13" t="s">
        <v>66</v>
      </c>
      <c r="F3" s="13">
        <v>287</v>
      </c>
      <c r="G3" s="13" t="s">
        <v>11</v>
      </c>
      <c r="H3" s="13" t="s">
        <v>600</v>
      </c>
      <c r="I3" s="18" t="s">
        <v>576</v>
      </c>
      <c r="J3" s="18" t="s">
        <v>610</v>
      </c>
      <c r="K3" s="18" t="s">
        <v>242</v>
      </c>
      <c r="L3" s="18" t="s">
        <v>253</v>
      </c>
      <c r="M3" s="18" t="s">
        <v>581</v>
      </c>
      <c r="N3" s="18" t="s">
        <v>585</v>
      </c>
    </row>
    <row r="4" spans="1:14" x14ac:dyDescent="0.35">
      <c r="A4" s="13" t="s">
        <v>617</v>
      </c>
      <c r="B4" s="13" t="s">
        <v>568</v>
      </c>
      <c r="C4" s="15" t="s">
        <v>633</v>
      </c>
      <c r="D4" s="13">
        <v>112</v>
      </c>
      <c r="E4" s="13" t="s">
        <v>569</v>
      </c>
      <c r="F4" s="13">
        <v>306</v>
      </c>
      <c r="G4" s="13" t="s">
        <v>11</v>
      </c>
      <c r="H4" s="13" t="s">
        <v>600</v>
      </c>
      <c r="I4" s="18" t="s">
        <v>247</v>
      </c>
      <c r="J4" s="18" t="s">
        <v>601</v>
      </c>
      <c r="K4" s="18" t="s">
        <v>242</v>
      </c>
      <c r="L4" s="18" t="s">
        <v>253</v>
      </c>
      <c r="M4" s="18" t="s">
        <v>618</v>
      </c>
      <c r="N4" s="18" t="s">
        <v>591</v>
      </c>
    </row>
    <row r="5" spans="1:14" x14ac:dyDescent="0.35">
      <c r="A5" s="13" t="s">
        <v>619</v>
      </c>
      <c r="B5" s="13" t="s">
        <v>583</v>
      </c>
      <c r="C5" s="15" t="s">
        <v>634</v>
      </c>
      <c r="D5" s="13">
        <v>100</v>
      </c>
      <c r="E5" s="13" t="s">
        <v>182</v>
      </c>
      <c r="F5" s="13">
        <v>89</v>
      </c>
      <c r="G5" s="13" t="s">
        <v>11</v>
      </c>
      <c r="H5" s="13" t="s">
        <v>600</v>
      </c>
      <c r="I5" s="18" t="s">
        <v>46</v>
      </c>
      <c r="J5" s="18" t="s">
        <v>604</v>
      </c>
      <c r="K5" s="18" t="s">
        <v>253</v>
      </c>
      <c r="L5" s="18" t="s">
        <v>242</v>
      </c>
      <c r="M5" s="18" t="s">
        <v>582</v>
      </c>
      <c r="N5" s="18"/>
    </row>
    <row r="6" spans="1:14" x14ac:dyDescent="0.35">
      <c r="A6" s="13" t="s">
        <v>620</v>
      </c>
      <c r="B6" s="13" t="s">
        <v>583</v>
      </c>
      <c r="C6" s="15" t="s">
        <v>635</v>
      </c>
      <c r="D6" s="13">
        <v>209</v>
      </c>
      <c r="E6" s="13" t="s">
        <v>349</v>
      </c>
      <c r="F6" s="13">
        <v>209</v>
      </c>
      <c r="G6" s="13" t="s">
        <v>118</v>
      </c>
      <c r="H6" s="13" t="s">
        <v>602</v>
      </c>
      <c r="I6" s="18" t="s">
        <v>571</v>
      </c>
      <c r="J6" s="18" t="s">
        <v>1281</v>
      </c>
      <c r="K6" s="18" t="s">
        <v>260</v>
      </c>
      <c r="L6" s="18" t="s">
        <v>253</v>
      </c>
      <c r="M6" s="18" t="s">
        <v>584</v>
      </c>
      <c r="N6" s="18" t="s">
        <v>586</v>
      </c>
    </row>
    <row r="7" spans="1:14" x14ac:dyDescent="0.35">
      <c r="A7" s="13" t="s">
        <v>621</v>
      </c>
      <c r="B7" s="13" t="s">
        <v>568</v>
      </c>
      <c r="C7" s="15" t="s">
        <v>636</v>
      </c>
      <c r="D7" s="13">
        <v>22</v>
      </c>
      <c r="E7" s="13" t="s">
        <v>622</v>
      </c>
      <c r="F7" s="13">
        <v>275</v>
      </c>
      <c r="G7" s="13" t="s">
        <v>11</v>
      </c>
      <c r="H7" s="13" t="s">
        <v>600</v>
      </c>
      <c r="I7" s="18" t="s">
        <v>623</v>
      </c>
      <c r="J7" s="18" t="s">
        <v>624</v>
      </c>
      <c r="K7" s="18" t="s">
        <v>253</v>
      </c>
      <c r="L7" s="18" t="s">
        <v>253</v>
      </c>
      <c r="M7" s="18" t="s">
        <v>581</v>
      </c>
      <c r="N7" s="18"/>
    </row>
    <row r="8" spans="1:14" x14ac:dyDescent="0.35">
      <c r="A8" s="13" t="s">
        <v>625</v>
      </c>
      <c r="B8" s="13" t="s">
        <v>583</v>
      </c>
      <c r="C8" s="15" t="s">
        <v>637</v>
      </c>
      <c r="D8" s="13">
        <v>113</v>
      </c>
      <c r="E8" s="13" t="s">
        <v>626</v>
      </c>
      <c r="F8" s="13">
        <v>113</v>
      </c>
      <c r="G8" s="13" t="s">
        <v>25</v>
      </c>
      <c r="H8" s="13" t="s">
        <v>606</v>
      </c>
      <c r="I8" s="18" t="s">
        <v>26</v>
      </c>
      <c r="J8" s="18" t="s">
        <v>607</v>
      </c>
      <c r="K8" s="18" t="s">
        <v>253</v>
      </c>
      <c r="L8" s="18" t="s">
        <v>260</v>
      </c>
      <c r="M8" s="18" t="s">
        <v>627</v>
      </c>
      <c r="N8" s="18" t="s">
        <v>595</v>
      </c>
    </row>
    <row r="9" spans="1:14" x14ac:dyDescent="0.35">
      <c r="A9" s="13" t="s">
        <v>628</v>
      </c>
      <c r="B9" s="13" t="s">
        <v>583</v>
      </c>
      <c r="C9" s="15" t="s">
        <v>638</v>
      </c>
      <c r="D9" s="13">
        <v>384</v>
      </c>
      <c r="E9" s="13" t="s">
        <v>75</v>
      </c>
      <c r="F9" s="13">
        <v>384</v>
      </c>
      <c r="G9" s="13" t="s">
        <v>11</v>
      </c>
      <c r="H9" s="13" t="s">
        <v>600</v>
      </c>
      <c r="I9" s="18" t="s">
        <v>572</v>
      </c>
      <c r="J9" s="18" t="s">
        <v>605</v>
      </c>
      <c r="K9" s="18" t="s">
        <v>242</v>
      </c>
      <c r="L9" s="18" t="s">
        <v>253</v>
      </c>
      <c r="M9" s="18"/>
      <c r="N9" s="18" t="s">
        <v>585</v>
      </c>
    </row>
    <row r="10" spans="1:14" x14ac:dyDescent="0.35">
      <c r="A10" s="13" t="s">
        <v>169</v>
      </c>
      <c r="B10" s="13" t="s">
        <v>583</v>
      </c>
      <c r="C10" s="15" t="s">
        <v>639</v>
      </c>
      <c r="D10" s="13">
        <v>611</v>
      </c>
      <c r="E10" s="13" t="s">
        <v>53</v>
      </c>
      <c r="F10" s="13">
        <v>611</v>
      </c>
      <c r="G10" s="13" t="s">
        <v>11</v>
      </c>
      <c r="H10" s="13" t="s">
        <v>600</v>
      </c>
      <c r="I10" s="18" t="s">
        <v>629</v>
      </c>
      <c r="J10" s="18" t="s">
        <v>630</v>
      </c>
      <c r="K10" s="18" t="s">
        <v>242</v>
      </c>
      <c r="L10" s="18" t="s">
        <v>260</v>
      </c>
      <c r="M10" s="18" t="s">
        <v>588</v>
      </c>
      <c r="N10" s="18" t="s">
        <v>589</v>
      </c>
    </row>
    <row r="11" spans="1:14" x14ac:dyDescent="0.35">
      <c r="A11" s="13" t="s">
        <v>173</v>
      </c>
      <c r="B11" s="13" t="s">
        <v>583</v>
      </c>
      <c r="C11" s="15" t="s">
        <v>640</v>
      </c>
      <c r="D11" s="13">
        <v>918</v>
      </c>
      <c r="E11" s="13" t="s">
        <v>175</v>
      </c>
      <c r="F11" s="13">
        <v>918</v>
      </c>
      <c r="G11" s="13" t="s">
        <v>118</v>
      </c>
      <c r="H11" s="13" t="s">
        <v>602</v>
      </c>
      <c r="I11" s="18" t="s">
        <v>575</v>
      </c>
      <c r="J11" s="18" t="s">
        <v>609</v>
      </c>
      <c r="K11" s="18" t="s">
        <v>253</v>
      </c>
      <c r="L11" s="18" t="s">
        <v>253</v>
      </c>
      <c r="M11" s="18" t="s">
        <v>584</v>
      </c>
      <c r="N11" s="18" t="s">
        <v>595</v>
      </c>
    </row>
    <row r="12" spans="1:14" x14ac:dyDescent="0.35">
      <c r="A12" s="13" t="s">
        <v>631</v>
      </c>
      <c r="B12" s="13" t="s">
        <v>573</v>
      </c>
      <c r="C12" s="15" t="s">
        <v>641</v>
      </c>
      <c r="D12" s="13">
        <v>409</v>
      </c>
      <c r="E12" s="13" t="s">
        <v>578</v>
      </c>
      <c r="F12" s="13">
        <v>400</v>
      </c>
      <c r="G12" s="13" t="s">
        <v>25</v>
      </c>
      <c r="H12" s="13" t="s">
        <v>606</v>
      </c>
      <c r="I12" s="18" t="s">
        <v>26</v>
      </c>
      <c r="J12" s="18" t="s">
        <v>607</v>
      </c>
      <c r="K12" s="18" t="s">
        <v>242</v>
      </c>
      <c r="L12" s="18" t="s">
        <v>253</v>
      </c>
      <c r="M12" s="18" t="s">
        <v>587</v>
      </c>
      <c r="N12" s="18"/>
    </row>
    <row r="13" spans="1:14" x14ac:dyDescent="0.35">
      <c r="A13" s="13" t="s">
        <v>593</v>
      </c>
      <c r="B13" s="13" t="s">
        <v>573</v>
      </c>
      <c r="C13" s="15" t="s">
        <v>642</v>
      </c>
      <c r="D13" s="13">
        <v>94</v>
      </c>
      <c r="E13" s="13" t="s">
        <v>57</v>
      </c>
      <c r="F13" s="13">
        <v>300</v>
      </c>
      <c r="G13" s="13" t="s">
        <v>103</v>
      </c>
      <c r="H13" s="13" t="s">
        <v>612</v>
      </c>
      <c r="I13" s="18" t="s">
        <v>594</v>
      </c>
      <c r="J13" s="18" t="s">
        <v>613</v>
      </c>
      <c r="K13" s="18" t="s">
        <v>242</v>
      </c>
      <c r="L13" s="18" t="s">
        <v>253</v>
      </c>
      <c r="M13" s="18"/>
      <c r="N13" s="18" t="s">
        <v>595</v>
      </c>
    </row>
    <row r="14" spans="1:14" x14ac:dyDescent="0.35">
      <c r="A14" s="13" t="s">
        <v>531</v>
      </c>
      <c r="B14" s="13" t="s">
        <v>583</v>
      </c>
      <c r="C14" s="15" t="s">
        <v>643</v>
      </c>
      <c r="D14" s="13">
        <v>126</v>
      </c>
      <c r="E14" s="13" t="s">
        <v>72</v>
      </c>
      <c r="F14" s="13">
        <v>22</v>
      </c>
      <c r="G14" s="13" t="s">
        <v>118</v>
      </c>
      <c r="H14" s="13" t="s">
        <v>602</v>
      </c>
      <c r="I14" s="18" t="s">
        <v>571</v>
      </c>
      <c r="J14" s="18" t="s">
        <v>603</v>
      </c>
      <c r="K14" s="18" t="s">
        <v>253</v>
      </c>
      <c r="L14" s="18" t="s">
        <v>260</v>
      </c>
      <c r="M14" s="18" t="s">
        <v>644</v>
      </c>
      <c r="N14" s="18" t="s">
        <v>586</v>
      </c>
    </row>
    <row r="15" spans="1:14" x14ac:dyDescent="0.35">
      <c r="A15" s="13" t="s">
        <v>645</v>
      </c>
      <c r="B15" s="13" t="s">
        <v>583</v>
      </c>
      <c r="C15" s="15" t="s">
        <v>646</v>
      </c>
      <c r="D15" s="13">
        <v>346</v>
      </c>
      <c r="E15" s="13" t="s">
        <v>74</v>
      </c>
      <c r="F15" s="13">
        <v>95</v>
      </c>
      <c r="G15" s="13" t="s">
        <v>118</v>
      </c>
      <c r="H15" s="13" t="s">
        <v>602</v>
      </c>
      <c r="I15" s="18" t="s">
        <v>647</v>
      </c>
      <c r="J15" s="18" t="s">
        <v>648</v>
      </c>
      <c r="K15" s="18" t="s">
        <v>242</v>
      </c>
      <c r="L15" s="18" t="s">
        <v>260</v>
      </c>
      <c r="M15" s="18" t="s">
        <v>627</v>
      </c>
      <c r="N15" s="18" t="s">
        <v>595</v>
      </c>
    </row>
    <row r="16" spans="1:14" x14ac:dyDescent="0.35">
      <c r="A16" s="13" t="s">
        <v>47</v>
      </c>
      <c r="B16" s="13" t="s">
        <v>583</v>
      </c>
      <c r="C16" s="15" t="s">
        <v>649</v>
      </c>
      <c r="D16" s="13">
        <v>200</v>
      </c>
      <c r="E16" s="13" t="s">
        <v>49</v>
      </c>
      <c r="F16" s="13">
        <v>524</v>
      </c>
      <c r="G16" s="13" t="s">
        <v>103</v>
      </c>
      <c r="H16" s="13" t="s">
        <v>612</v>
      </c>
      <c r="I16" s="18" t="s">
        <v>50</v>
      </c>
      <c r="J16" s="18" t="s">
        <v>650</v>
      </c>
      <c r="K16" s="18" t="s">
        <v>242</v>
      </c>
      <c r="L16" s="18" t="s">
        <v>253</v>
      </c>
      <c r="M16" s="18" t="s">
        <v>651</v>
      </c>
      <c r="N16" s="18" t="s">
        <v>591</v>
      </c>
    </row>
    <row r="17" spans="1:14" x14ac:dyDescent="0.35">
      <c r="A17" s="18" t="s">
        <v>183</v>
      </c>
      <c r="B17" s="18" t="s">
        <v>583</v>
      </c>
      <c r="C17" s="19" t="s">
        <v>652</v>
      </c>
      <c r="D17" s="18">
        <v>79</v>
      </c>
      <c r="E17" s="18" t="s">
        <v>71</v>
      </c>
      <c r="F17" s="18">
        <v>79</v>
      </c>
      <c r="G17" s="18" t="s">
        <v>103</v>
      </c>
      <c r="H17" s="18" t="s">
        <v>612</v>
      </c>
      <c r="I17" s="18" t="s">
        <v>17</v>
      </c>
      <c r="J17" s="18" t="s">
        <v>653</v>
      </c>
      <c r="K17" s="18" t="s">
        <v>253</v>
      </c>
      <c r="L17" s="18" t="s">
        <v>242</v>
      </c>
      <c r="M17" s="18" t="s">
        <v>654</v>
      </c>
      <c r="N17" s="18" t="s">
        <v>591</v>
      </c>
    </row>
    <row r="18" spans="1:14" x14ac:dyDescent="0.35">
      <c r="A18" s="16" t="s">
        <v>185</v>
      </c>
      <c r="B18" s="16" t="s">
        <v>583</v>
      </c>
      <c r="C18" s="17" t="s">
        <v>655</v>
      </c>
      <c r="D18" s="16">
        <v>62</v>
      </c>
      <c r="E18" s="16" t="s">
        <v>37</v>
      </c>
      <c r="F18" s="16">
        <v>352</v>
      </c>
      <c r="G18" s="16" t="s">
        <v>103</v>
      </c>
      <c r="H18" s="16" t="s">
        <v>612</v>
      </c>
      <c r="I18" s="16" t="s">
        <v>312</v>
      </c>
      <c r="J18" s="16" t="s">
        <v>656</v>
      </c>
      <c r="K18" s="16" t="s">
        <v>253</v>
      </c>
      <c r="L18" s="16" t="s">
        <v>253</v>
      </c>
      <c r="M18" s="16" t="s">
        <v>657</v>
      </c>
      <c r="N18" s="16" t="s">
        <v>585</v>
      </c>
    </row>
    <row r="19" spans="1:14" x14ac:dyDescent="0.35">
      <c r="A19" s="16" t="s">
        <v>199</v>
      </c>
      <c r="B19" s="16" t="s">
        <v>658</v>
      </c>
      <c r="C19" s="17" t="s">
        <v>659</v>
      </c>
      <c r="D19" s="16">
        <v>223</v>
      </c>
      <c r="E19" s="16" t="s">
        <v>660</v>
      </c>
      <c r="F19" s="16">
        <v>223</v>
      </c>
      <c r="G19" s="16" t="s">
        <v>118</v>
      </c>
      <c r="H19" s="16" t="s">
        <v>602</v>
      </c>
      <c r="I19" s="16" t="s">
        <v>661</v>
      </c>
      <c r="J19" s="16" t="s">
        <v>662</v>
      </c>
      <c r="K19" s="16" t="s">
        <v>253</v>
      </c>
      <c r="L19" s="16" t="s">
        <v>260</v>
      </c>
      <c r="M19" s="16" t="s">
        <v>581</v>
      </c>
      <c r="N19" s="16" t="s">
        <v>586</v>
      </c>
    </row>
    <row r="20" spans="1:14" x14ac:dyDescent="0.35">
      <c r="A20" s="16" t="s">
        <v>663</v>
      </c>
      <c r="B20" s="16" t="s">
        <v>568</v>
      </c>
      <c r="C20" s="17" t="s">
        <v>664</v>
      </c>
      <c r="D20" s="16">
        <v>233</v>
      </c>
      <c r="E20" s="16" t="s">
        <v>221</v>
      </c>
      <c r="F20" s="16">
        <v>284</v>
      </c>
      <c r="G20" s="16" t="s">
        <v>118</v>
      </c>
      <c r="H20" s="16" t="s">
        <v>602</v>
      </c>
      <c r="I20" s="16" t="s">
        <v>623</v>
      </c>
      <c r="J20" s="16" t="s">
        <v>624</v>
      </c>
      <c r="K20" s="16" t="s">
        <v>253</v>
      </c>
      <c r="L20" s="16" t="s">
        <v>242</v>
      </c>
      <c r="M20" s="16" t="s">
        <v>581</v>
      </c>
      <c r="N20" s="16" t="s">
        <v>585</v>
      </c>
    </row>
    <row r="21" spans="1:14" x14ac:dyDescent="0.35">
      <c r="A21" s="16" t="s">
        <v>665</v>
      </c>
      <c r="B21" s="16" t="s">
        <v>583</v>
      </c>
      <c r="C21" s="17" t="s">
        <v>666</v>
      </c>
      <c r="D21" s="16">
        <v>346</v>
      </c>
      <c r="E21" s="16" t="s">
        <v>74</v>
      </c>
      <c r="F21" s="16">
        <v>306</v>
      </c>
      <c r="G21" s="16" t="s">
        <v>11</v>
      </c>
      <c r="H21" s="16" t="s">
        <v>600</v>
      </c>
      <c r="I21" s="16" t="s">
        <v>667</v>
      </c>
      <c r="J21" s="16" t="s">
        <v>668</v>
      </c>
      <c r="K21" s="16" t="s">
        <v>242</v>
      </c>
      <c r="L21" s="16" t="s">
        <v>253</v>
      </c>
      <c r="M21" s="16" t="s">
        <v>627</v>
      </c>
      <c r="N21" s="16" t="s">
        <v>586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1707C-881F-49BE-998E-39CAF3C573F5}">
  <dimension ref="A1:N21"/>
  <sheetViews>
    <sheetView workbookViewId="0">
      <selection activeCell="C17" sqref="C17"/>
    </sheetView>
  </sheetViews>
  <sheetFormatPr defaultRowHeight="15.5" x14ac:dyDescent="0.35"/>
  <cols>
    <col min="1" max="1" width="53.1796875" style="16" bestFit="1" customWidth="1"/>
    <col min="2" max="2" width="14.453125" style="16" bestFit="1" customWidth="1"/>
    <col min="3" max="3" width="134.7265625" style="17" bestFit="1" customWidth="1"/>
    <col min="4" max="4" width="10.26953125" style="16" bestFit="1" customWidth="1"/>
    <col min="5" max="5" width="48.26953125" style="16" bestFit="1" customWidth="1"/>
    <col min="6" max="6" width="8" style="16" bestFit="1" customWidth="1"/>
    <col min="7" max="7" width="15.81640625" style="16" bestFit="1" customWidth="1"/>
    <col min="8" max="8" width="24.6328125" style="16" bestFit="1" customWidth="1"/>
    <col min="9" max="9" width="22.6328125" style="16" bestFit="1" customWidth="1"/>
    <col min="10" max="10" width="55.1796875" style="16" bestFit="1" customWidth="1"/>
    <col min="11" max="11" width="9.36328125" style="16" bestFit="1" customWidth="1"/>
    <col min="12" max="12" width="12.08984375" style="16" bestFit="1" customWidth="1"/>
    <col min="13" max="13" width="38.6328125" style="16" bestFit="1" customWidth="1"/>
    <col min="14" max="14" width="39.1796875" style="16" bestFit="1" customWidth="1"/>
    <col min="15" max="16384" width="8.7265625" style="16"/>
  </cols>
  <sheetData>
    <row r="1" spans="1:14" x14ac:dyDescent="0.35">
      <c r="A1" s="6" t="s">
        <v>0</v>
      </c>
      <c r="B1" s="6" t="s">
        <v>567</v>
      </c>
      <c r="C1" s="14" t="s">
        <v>2</v>
      </c>
      <c r="D1" s="6" t="s">
        <v>3</v>
      </c>
      <c r="E1" s="6" t="s">
        <v>4</v>
      </c>
      <c r="F1" s="6" t="s">
        <v>5</v>
      </c>
      <c r="G1" s="6" t="s">
        <v>6</v>
      </c>
      <c r="H1" s="6" t="s">
        <v>598</v>
      </c>
      <c r="I1" s="9" t="s">
        <v>7</v>
      </c>
      <c r="J1" s="9" t="s">
        <v>599</v>
      </c>
      <c r="K1" s="8" t="s">
        <v>240</v>
      </c>
      <c r="L1" s="8" t="s">
        <v>241</v>
      </c>
      <c r="M1" s="8" t="s">
        <v>579</v>
      </c>
      <c r="N1" s="8" t="s">
        <v>580</v>
      </c>
    </row>
    <row r="2" spans="1:14" x14ac:dyDescent="0.35">
      <c r="A2" s="13" t="s">
        <v>669</v>
      </c>
      <c r="B2" s="13" t="s">
        <v>568</v>
      </c>
      <c r="C2" s="15" t="s">
        <v>670</v>
      </c>
      <c r="D2" s="13">
        <v>112</v>
      </c>
      <c r="E2" s="13" t="s">
        <v>569</v>
      </c>
      <c r="F2" s="13">
        <v>306</v>
      </c>
      <c r="G2" s="13" t="s">
        <v>11</v>
      </c>
      <c r="H2" s="13" t="s">
        <v>600</v>
      </c>
      <c r="I2" s="18" t="s">
        <v>247</v>
      </c>
      <c r="J2" s="18" t="s">
        <v>601</v>
      </c>
      <c r="K2" s="18" t="s">
        <v>242</v>
      </c>
      <c r="L2" s="18" t="s">
        <v>253</v>
      </c>
      <c r="M2" s="18" t="s">
        <v>618</v>
      </c>
      <c r="N2" s="18" t="s">
        <v>591</v>
      </c>
    </row>
    <row r="3" spans="1:14" x14ac:dyDescent="0.35">
      <c r="A3" s="13" t="s">
        <v>671</v>
      </c>
      <c r="B3" s="13" t="s">
        <v>583</v>
      </c>
      <c r="C3" s="15" t="s">
        <v>672</v>
      </c>
      <c r="D3" s="13">
        <v>126</v>
      </c>
      <c r="E3" s="13" t="s">
        <v>72</v>
      </c>
      <c r="F3" s="13">
        <v>22</v>
      </c>
      <c r="G3" s="13" t="s">
        <v>118</v>
      </c>
      <c r="H3" s="13" t="s">
        <v>602</v>
      </c>
      <c r="I3" s="18" t="s">
        <v>571</v>
      </c>
      <c r="J3" s="18" t="s">
        <v>603</v>
      </c>
      <c r="K3" s="18" t="s">
        <v>253</v>
      </c>
      <c r="L3" s="18" t="s">
        <v>260</v>
      </c>
      <c r="M3" s="18" t="s">
        <v>644</v>
      </c>
      <c r="N3" s="18" t="s">
        <v>586</v>
      </c>
    </row>
    <row r="4" spans="1:14" x14ac:dyDescent="0.35">
      <c r="A4" s="13" t="s">
        <v>673</v>
      </c>
      <c r="B4" s="13" t="s">
        <v>583</v>
      </c>
      <c r="C4" s="15" t="s">
        <v>674</v>
      </c>
      <c r="D4" s="13">
        <v>100</v>
      </c>
      <c r="E4" s="13" t="s">
        <v>182</v>
      </c>
      <c r="F4" s="13">
        <v>120</v>
      </c>
      <c r="G4" s="13" t="s">
        <v>25</v>
      </c>
      <c r="H4" s="13" t="s">
        <v>606</v>
      </c>
      <c r="I4" s="18" t="s">
        <v>26</v>
      </c>
      <c r="J4" s="18" t="s">
        <v>607</v>
      </c>
      <c r="K4" s="18" t="s">
        <v>242</v>
      </c>
      <c r="L4" s="18" t="s">
        <v>253</v>
      </c>
      <c r="M4" s="18" t="s">
        <v>627</v>
      </c>
      <c r="N4" s="18" t="s">
        <v>585</v>
      </c>
    </row>
    <row r="5" spans="1:14" x14ac:dyDescent="0.35">
      <c r="A5" s="13" t="s">
        <v>675</v>
      </c>
      <c r="B5" s="13" t="s">
        <v>573</v>
      </c>
      <c r="C5" s="15" t="s">
        <v>676</v>
      </c>
      <c r="D5" s="13">
        <v>409</v>
      </c>
      <c r="E5" s="13" t="s">
        <v>578</v>
      </c>
      <c r="F5" s="13">
        <v>400</v>
      </c>
      <c r="G5" s="13" t="s">
        <v>25</v>
      </c>
      <c r="H5" s="13" t="s">
        <v>606</v>
      </c>
      <c r="I5" s="18" t="s">
        <v>26</v>
      </c>
      <c r="J5" s="18" t="s">
        <v>607</v>
      </c>
      <c r="K5" s="18" t="s">
        <v>242</v>
      </c>
      <c r="L5" s="18" t="s">
        <v>253</v>
      </c>
      <c r="M5" s="18" t="s">
        <v>587</v>
      </c>
      <c r="N5" s="18" t="s">
        <v>591</v>
      </c>
    </row>
    <row r="6" spans="1:14" x14ac:dyDescent="0.35">
      <c r="A6" s="13" t="s">
        <v>677</v>
      </c>
      <c r="B6" s="13" t="s">
        <v>583</v>
      </c>
      <c r="C6" s="15" t="s">
        <v>678</v>
      </c>
      <c r="D6" s="13">
        <v>384</v>
      </c>
      <c r="E6" s="13" t="s">
        <v>75</v>
      </c>
      <c r="F6" s="13">
        <v>384</v>
      </c>
      <c r="G6" s="13" t="s">
        <v>11</v>
      </c>
      <c r="H6" s="13" t="s">
        <v>600</v>
      </c>
      <c r="I6" s="18" t="s">
        <v>572</v>
      </c>
      <c r="J6" s="18" t="s">
        <v>1281</v>
      </c>
      <c r="K6" s="18" t="s">
        <v>242</v>
      </c>
      <c r="L6" s="18" t="s">
        <v>253</v>
      </c>
      <c r="M6" s="18"/>
      <c r="N6" s="18" t="s">
        <v>585</v>
      </c>
    </row>
    <row r="7" spans="1:14" ht="28.5" x14ac:dyDescent="0.35">
      <c r="A7" s="13" t="s">
        <v>679</v>
      </c>
      <c r="B7" s="13" t="s">
        <v>583</v>
      </c>
      <c r="C7" s="15" t="s">
        <v>680</v>
      </c>
      <c r="D7" s="13">
        <v>79</v>
      </c>
      <c r="E7" s="13" t="s">
        <v>71</v>
      </c>
      <c r="F7" s="13">
        <v>79</v>
      </c>
      <c r="G7" s="13" t="s">
        <v>103</v>
      </c>
      <c r="H7" s="13" t="s">
        <v>612</v>
      </c>
      <c r="I7" s="18" t="s">
        <v>17</v>
      </c>
      <c r="J7" s="18" t="s">
        <v>653</v>
      </c>
      <c r="K7" s="18" t="s">
        <v>253</v>
      </c>
      <c r="L7" s="18" t="s">
        <v>242</v>
      </c>
      <c r="M7" s="18" t="s">
        <v>654</v>
      </c>
      <c r="N7" s="18" t="s">
        <v>591</v>
      </c>
    </row>
    <row r="8" spans="1:14" x14ac:dyDescent="0.35">
      <c r="A8" s="13" t="s">
        <v>681</v>
      </c>
      <c r="B8" s="13" t="s">
        <v>583</v>
      </c>
      <c r="C8" s="15" t="s">
        <v>682</v>
      </c>
      <c r="D8" s="13">
        <v>62</v>
      </c>
      <c r="E8" s="13" t="s">
        <v>37</v>
      </c>
      <c r="F8" s="13">
        <v>352</v>
      </c>
      <c r="G8" s="13" t="s">
        <v>103</v>
      </c>
      <c r="H8" s="13" t="s">
        <v>612</v>
      </c>
      <c r="I8" s="18" t="s">
        <v>312</v>
      </c>
      <c r="J8" s="18" t="s">
        <v>656</v>
      </c>
      <c r="K8" s="18" t="s">
        <v>253</v>
      </c>
      <c r="L8" s="18" t="s">
        <v>253</v>
      </c>
      <c r="M8" s="18" t="s">
        <v>657</v>
      </c>
      <c r="N8" s="18" t="s">
        <v>585</v>
      </c>
    </row>
    <row r="9" spans="1:14" x14ac:dyDescent="0.35">
      <c r="A9" s="13" t="s">
        <v>683</v>
      </c>
      <c r="B9" s="13" t="s">
        <v>583</v>
      </c>
      <c r="C9" s="15" t="s">
        <v>684</v>
      </c>
      <c r="D9" s="13">
        <v>209</v>
      </c>
      <c r="E9" s="13" t="s">
        <v>349</v>
      </c>
      <c r="F9" s="13">
        <v>209</v>
      </c>
      <c r="G9" s="13" t="s">
        <v>118</v>
      </c>
      <c r="H9" s="13" t="s">
        <v>602</v>
      </c>
      <c r="I9" s="18" t="s">
        <v>571</v>
      </c>
      <c r="J9" s="18" t="s">
        <v>603</v>
      </c>
      <c r="K9" s="18" t="s">
        <v>260</v>
      </c>
      <c r="L9" s="18" t="s">
        <v>253</v>
      </c>
      <c r="M9" s="18" t="s">
        <v>584</v>
      </c>
      <c r="N9" s="18" t="s">
        <v>586</v>
      </c>
    </row>
    <row r="10" spans="1:14" ht="28.5" x14ac:dyDescent="0.35">
      <c r="A10" s="13" t="s">
        <v>685</v>
      </c>
      <c r="B10" s="13" t="s">
        <v>583</v>
      </c>
      <c r="C10" s="15" t="s">
        <v>686</v>
      </c>
      <c r="D10" s="13">
        <v>611</v>
      </c>
      <c r="E10" s="13" t="s">
        <v>53</v>
      </c>
      <c r="F10" s="13">
        <v>611</v>
      </c>
      <c r="G10" s="13" t="s">
        <v>11</v>
      </c>
      <c r="H10" s="13" t="s">
        <v>600</v>
      </c>
      <c r="I10" s="18" t="s">
        <v>629</v>
      </c>
      <c r="J10" s="18" t="s">
        <v>630</v>
      </c>
      <c r="K10" s="18" t="s">
        <v>242</v>
      </c>
      <c r="L10" s="18" t="s">
        <v>260</v>
      </c>
      <c r="M10" s="18" t="s">
        <v>588</v>
      </c>
      <c r="N10" s="18" t="s">
        <v>589</v>
      </c>
    </row>
    <row r="11" spans="1:14" ht="28.5" x14ac:dyDescent="0.35">
      <c r="A11" s="13" t="s">
        <v>687</v>
      </c>
      <c r="B11" s="13" t="s">
        <v>583</v>
      </c>
      <c r="C11" s="15" t="s">
        <v>688</v>
      </c>
      <c r="D11" s="13">
        <v>346</v>
      </c>
      <c r="E11" s="13" t="s">
        <v>74</v>
      </c>
      <c r="F11" s="13">
        <v>95</v>
      </c>
      <c r="G11" s="13" t="s">
        <v>118</v>
      </c>
      <c r="H11" s="13" t="s">
        <v>602</v>
      </c>
      <c r="I11" s="18" t="s">
        <v>647</v>
      </c>
      <c r="J11" s="18" t="s">
        <v>648</v>
      </c>
      <c r="K11" s="18" t="s">
        <v>242</v>
      </c>
      <c r="L11" s="18" t="s">
        <v>260</v>
      </c>
      <c r="M11" s="18" t="s">
        <v>627</v>
      </c>
      <c r="N11" s="18" t="s">
        <v>595</v>
      </c>
    </row>
    <row r="12" spans="1:14" ht="28.5" x14ac:dyDescent="0.35">
      <c r="A12" s="13" t="s">
        <v>689</v>
      </c>
      <c r="B12" s="13" t="s">
        <v>583</v>
      </c>
      <c r="C12" s="15" t="s">
        <v>690</v>
      </c>
      <c r="D12" s="13">
        <v>89</v>
      </c>
      <c r="E12" s="13" t="s">
        <v>691</v>
      </c>
      <c r="F12" s="13">
        <v>74</v>
      </c>
      <c r="G12" s="13" t="s">
        <v>118</v>
      </c>
      <c r="H12" s="13" t="s">
        <v>602</v>
      </c>
      <c r="I12" s="18" t="s">
        <v>692</v>
      </c>
      <c r="J12" s="18" t="s">
        <v>693</v>
      </c>
      <c r="K12" s="18" t="s">
        <v>253</v>
      </c>
      <c r="L12" s="18" t="s">
        <v>242</v>
      </c>
      <c r="M12" s="18" t="s">
        <v>582</v>
      </c>
      <c r="N12" s="18" t="s">
        <v>591</v>
      </c>
    </row>
    <row r="13" spans="1:14" x14ac:dyDescent="0.35">
      <c r="A13" s="13" t="s">
        <v>694</v>
      </c>
      <c r="B13" s="13" t="s">
        <v>583</v>
      </c>
      <c r="C13" s="15" t="s">
        <v>695</v>
      </c>
      <c r="D13" s="13">
        <v>17</v>
      </c>
      <c r="E13" s="13" t="s">
        <v>696</v>
      </c>
      <c r="F13" s="13">
        <v>434</v>
      </c>
      <c r="G13" s="13" t="s">
        <v>11</v>
      </c>
      <c r="H13" s="13" t="s">
        <v>600</v>
      </c>
      <c r="I13" s="18" t="s">
        <v>697</v>
      </c>
      <c r="J13" s="18" t="s">
        <v>698</v>
      </c>
      <c r="K13" s="18" t="s">
        <v>242</v>
      </c>
      <c r="L13" s="18" t="s">
        <v>253</v>
      </c>
      <c r="M13" s="18" t="s">
        <v>644</v>
      </c>
      <c r="N13" s="18" t="s">
        <v>585</v>
      </c>
    </row>
    <row r="14" spans="1:14" x14ac:dyDescent="0.35">
      <c r="A14" s="13" t="s">
        <v>699</v>
      </c>
      <c r="B14" s="13" t="s">
        <v>583</v>
      </c>
      <c r="C14" s="15" t="s">
        <v>700</v>
      </c>
      <c r="D14" s="13">
        <v>113</v>
      </c>
      <c r="E14" s="13" t="s">
        <v>626</v>
      </c>
      <c r="F14" s="13">
        <v>113</v>
      </c>
      <c r="G14" s="13" t="s">
        <v>25</v>
      </c>
      <c r="H14" s="13" t="s">
        <v>606</v>
      </c>
      <c r="I14" s="18" t="s">
        <v>26</v>
      </c>
      <c r="J14" s="18" t="s">
        <v>607</v>
      </c>
      <c r="K14" s="18" t="s">
        <v>253</v>
      </c>
      <c r="L14" s="18" t="s">
        <v>260</v>
      </c>
      <c r="M14" s="18" t="s">
        <v>627</v>
      </c>
      <c r="N14" s="18" t="s">
        <v>595</v>
      </c>
    </row>
    <row r="15" spans="1:14" ht="28.5" x14ac:dyDescent="0.35">
      <c r="A15" s="13" t="s">
        <v>701</v>
      </c>
      <c r="B15" s="13" t="s">
        <v>583</v>
      </c>
      <c r="C15" s="15" t="s">
        <v>702</v>
      </c>
      <c r="D15" s="13">
        <v>918</v>
      </c>
      <c r="E15" s="13" t="s">
        <v>175</v>
      </c>
      <c r="F15" s="13">
        <v>918</v>
      </c>
      <c r="G15" s="13" t="s">
        <v>11</v>
      </c>
      <c r="H15" s="13" t="s">
        <v>600</v>
      </c>
      <c r="I15" s="18" t="s">
        <v>697</v>
      </c>
      <c r="J15" s="18" t="s">
        <v>698</v>
      </c>
      <c r="K15" s="18" t="s">
        <v>242</v>
      </c>
      <c r="L15" s="18" t="s">
        <v>253</v>
      </c>
      <c r="M15" s="18" t="s">
        <v>581</v>
      </c>
      <c r="N15" s="18" t="s">
        <v>591</v>
      </c>
    </row>
    <row r="16" spans="1:14" ht="28.5" x14ac:dyDescent="0.35">
      <c r="A16" s="13" t="s">
        <v>703</v>
      </c>
      <c r="B16" s="13" t="s">
        <v>583</v>
      </c>
      <c r="C16" s="15" t="s">
        <v>704</v>
      </c>
      <c r="D16" s="13">
        <v>502</v>
      </c>
      <c r="E16" s="13" t="s">
        <v>62</v>
      </c>
      <c r="F16" s="13">
        <v>502</v>
      </c>
      <c r="G16" s="13" t="s">
        <v>103</v>
      </c>
      <c r="H16" s="13" t="s">
        <v>612</v>
      </c>
      <c r="I16" s="18" t="s">
        <v>572</v>
      </c>
      <c r="J16" s="18" t="s">
        <v>605</v>
      </c>
      <c r="K16" s="18" t="s">
        <v>242</v>
      </c>
      <c r="L16" s="18" t="s">
        <v>253</v>
      </c>
      <c r="M16" s="18" t="s">
        <v>705</v>
      </c>
      <c r="N16" s="18" t="s">
        <v>591</v>
      </c>
    </row>
    <row r="17" spans="1:14" x14ac:dyDescent="0.35">
      <c r="A17" s="18" t="s">
        <v>706</v>
      </c>
      <c r="B17" s="18" t="s">
        <v>583</v>
      </c>
      <c r="C17" s="19" t="s">
        <v>707</v>
      </c>
      <c r="D17" s="18">
        <v>215</v>
      </c>
      <c r="E17" s="18" t="s">
        <v>70</v>
      </c>
      <c r="F17" s="18">
        <v>16</v>
      </c>
      <c r="G17" s="18" t="s">
        <v>25</v>
      </c>
      <c r="H17" s="18" t="s">
        <v>606</v>
      </c>
      <c r="I17" s="18" t="s">
        <v>26</v>
      </c>
      <c r="J17" s="18" t="s">
        <v>607</v>
      </c>
      <c r="K17" s="18" t="s">
        <v>253</v>
      </c>
      <c r="L17" s="18" t="s">
        <v>242</v>
      </c>
      <c r="M17" s="18" t="s">
        <v>584</v>
      </c>
      <c r="N17" s="18" t="s">
        <v>591</v>
      </c>
    </row>
    <row r="18" spans="1:14" ht="31" x14ac:dyDescent="0.35">
      <c r="A18" s="16" t="s">
        <v>708</v>
      </c>
      <c r="B18" s="16" t="s">
        <v>573</v>
      </c>
      <c r="C18" s="17" t="s">
        <v>709</v>
      </c>
      <c r="D18" s="16">
        <v>94</v>
      </c>
      <c r="E18" s="16" t="s">
        <v>57</v>
      </c>
      <c r="F18" s="16">
        <v>300</v>
      </c>
      <c r="G18" s="16" t="s">
        <v>11</v>
      </c>
      <c r="H18" s="16" t="s">
        <v>600</v>
      </c>
      <c r="I18" s="16" t="s">
        <v>572</v>
      </c>
      <c r="J18" s="16" t="s">
        <v>605</v>
      </c>
      <c r="K18" s="16" t="s">
        <v>242</v>
      </c>
      <c r="L18" s="16" t="s">
        <v>253</v>
      </c>
      <c r="M18" s="16" t="s">
        <v>581</v>
      </c>
      <c r="N18" s="16" t="s">
        <v>595</v>
      </c>
    </row>
    <row r="19" spans="1:14" x14ac:dyDescent="0.35">
      <c r="A19" s="16" t="s">
        <v>710</v>
      </c>
      <c r="B19" s="16" t="s">
        <v>573</v>
      </c>
      <c r="C19" s="17" t="s">
        <v>711</v>
      </c>
      <c r="D19" s="16">
        <v>319</v>
      </c>
      <c r="E19" s="16" t="s">
        <v>400</v>
      </c>
      <c r="F19" s="16">
        <v>319</v>
      </c>
      <c r="G19" s="16" t="s">
        <v>118</v>
      </c>
      <c r="H19" s="16" t="s">
        <v>602</v>
      </c>
      <c r="I19" s="16" t="s">
        <v>379</v>
      </c>
      <c r="J19" s="16" t="s">
        <v>712</v>
      </c>
      <c r="K19" s="16" t="s">
        <v>253</v>
      </c>
      <c r="L19" s="16" t="s">
        <v>253</v>
      </c>
      <c r="M19" s="16" t="s">
        <v>588</v>
      </c>
      <c r="N19" s="16" t="s">
        <v>586</v>
      </c>
    </row>
    <row r="20" spans="1:14" x14ac:dyDescent="0.35">
      <c r="A20" s="16" t="s">
        <v>713</v>
      </c>
      <c r="B20" s="16" t="s">
        <v>583</v>
      </c>
      <c r="C20" s="17" t="s">
        <v>714</v>
      </c>
      <c r="D20" s="16">
        <v>274</v>
      </c>
      <c r="E20" s="16" t="s">
        <v>715</v>
      </c>
      <c r="F20" s="16">
        <v>269</v>
      </c>
      <c r="G20" s="16" t="s">
        <v>311</v>
      </c>
      <c r="H20" s="16" t="s">
        <v>308</v>
      </c>
      <c r="I20" s="16" t="s">
        <v>312</v>
      </c>
      <c r="J20" s="16" t="s">
        <v>656</v>
      </c>
      <c r="K20" s="16" t="s">
        <v>242</v>
      </c>
      <c r="L20" s="16" t="s">
        <v>242</v>
      </c>
      <c r="M20" s="16" t="s">
        <v>581</v>
      </c>
      <c r="N20" s="16" t="s">
        <v>597</v>
      </c>
    </row>
    <row r="21" spans="1:14" x14ac:dyDescent="0.35">
      <c r="A21" s="16" t="s">
        <v>716</v>
      </c>
      <c r="B21" s="16" t="s">
        <v>583</v>
      </c>
      <c r="C21" s="17" t="s">
        <v>717</v>
      </c>
      <c r="D21" s="16">
        <v>326</v>
      </c>
      <c r="E21" s="16" t="s">
        <v>718</v>
      </c>
      <c r="F21" s="16">
        <v>326</v>
      </c>
      <c r="G21" s="16" t="s">
        <v>118</v>
      </c>
      <c r="H21" s="16" t="s">
        <v>602</v>
      </c>
      <c r="I21" s="16" t="s">
        <v>379</v>
      </c>
      <c r="J21" s="16" t="s">
        <v>712</v>
      </c>
      <c r="K21" s="16" t="s">
        <v>253</v>
      </c>
      <c r="L21" s="16" t="s">
        <v>253</v>
      </c>
      <c r="M21" s="16" t="s">
        <v>644</v>
      </c>
      <c r="N21" s="16" t="s">
        <v>586</v>
      </c>
    </row>
  </sheetData>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E525A-FFC7-440A-8E35-B59D5952918C}">
  <dimension ref="A1:N21"/>
  <sheetViews>
    <sheetView topLeftCell="I3" workbookViewId="0">
      <selection activeCell="C17" sqref="C17"/>
    </sheetView>
  </sheetViews>
  <sheetFormatPr defaultRowHeight="15.5" x14ac:dyDescent="0.35"/>
  <cols>
    <col min="1" max="1" width="44.26953125" style="16" bestFit="1" customWidth="1"/>
    <col min="2" max="2" width="14.453125" style="16" bestFit="1" customWidth="1"/>
    <col min="3" max="3" width="130.1796875" style="17" bestFit="1" customWidth="1"/>
    <col min="4" max="4" width="10.26953125" style="16" bestFit="1" customWidth="1"/>
    <col min="5" max="5" width="48.26953125" style="16" bestFit="1" customWidth="1"/>
    <col min="6" max="6" width="8" style="16" bestFit="1" customWidth="1"/>
    <col min="7" max="7" width="15.81640625" style="16" bestFit="1" customWidth="1"/>
    <col min="8" max="8" width="24.6328125" style="16" bestFit="1" customWidth="1"/>
    <col min="9" max="9" width="22.6328125" style="16" bestFit="1" customWidth="1"/>
    <col min="10" max="10" width="55.1796875" style="16" bestFit="1" customWidth="1"/>
    <col min="11" max="11" width="9.36328125" style="16" bestFit="1" customWidth="1"/>
    <col min="12" max="12" width="12.08984375" style="16" bestFit="1" customWidth="1"/>
    <col min="13" max="13" width="38.6328125" style="16" bestFit="1" customWidth="1"/>
    <col min="14" max="14" width="39.1796875" style="16" bestFit="1" customWidth="1"/>
    <col min="15" max="16384" width="8.7265625" style="16"/>
  </cols>
  <sheetData>
    <row r="1" spans="1:14" x14ac:dyDescent="0.35">
      <c r="A1" s="6" t="s">
        <v>0</v>
      </c>
      <c r="B1" s="6" t="s">
        <v>567</v>
      </c>
      <c r="C1" s="14" t="s">
        <v>2</v>
      </c>
      <c r="D1" s="6" t="s">
        <v>3</v>
      </c>
      <c r="E1" s="6" t="s">
        <v>4</v>
      </c>
      <c r="F1" s="6" t="s">
        <v>5</v>
      </c>
      <c r="G1" s="6" t="s">
        <v>6</v>
      </c>
      <c r="H1" s="6" t="s">
        <v>598</v>
      </c>
      <c r="I1" s="9" t="s">
        <v>7</v>
      </c>
      <c r="J1" s="9" t="s">
        <v>599</v>
      </c>
      <c r="K1" s="8" t="s">
        <v>240</v>
      </c>
      <c r="L1" s="8" t="s">
        <v>241</v>
      </c>
      <c r="M1" s="8" t="s">
        <v>579</v>
      </c>
      <c r="N1" s="8" t="s">
        <v>580</v>
      </c>
    </row>
    <row r="2" spans="1:14" x14ac:dyDescent="0.35">
      <c r="A2" s="13" t="s">
        <v>719</v>
      </c>
      <c r="B2" s="13" t="s">
        <v>568</v>
      </c>
      <c r="C2" s="15" t="s">
        <v>720</v>
      </c>
      <c r="D2" s="13">
        <v>112</v>
      </c>
      <c r="E2" s="13" t="s">
        <v>569</v>
      </c>
      <c r="F2" s="13">
        <v>306</v>
      </c>
      <c r="G2" s="13" t="s">
        <v>11</v>
      </c>
      <c r="H2" s="13" t="s">
        <v>600</v>
      </c>
      <c r="I2" s="18" t="s">
        <v>247</v>
      </c>
      <c r="J2" s="18" t="s">
        <v>601</v>
      </c>
      <c r="K2" s="18" t="s">
        <v>242</v>
      </c>
      <c r="L2" s="18" t="s">
        <v>253</v>
      </c>
      <c r="M2" s="18" t="s">
        <v>618</v>
      </c>
      <c r="N2" s="18" t="s">
        <v>591</v>
      </c>
    </row>
    <row r="3" spans="1:14" x14ac:dyDescent="0.35">
      <c r="A3" s="13" t="s">
        <v>721</v>
      </c>
      <c r="B3" s="13" t="s">
        <v>583</v>
      </c>
      <c r="C3" s="15" t="s">
        <v>722</v>
      </c>
      <c r="D3" s="13">
        <v>126</v>
      </c>
      <c r="E3" s="13" t="s">
        <v>72</v>
      </c>
      <c r="F3" s="13">
        <v>22</v>
      </c>
      <c r="G3" s="13" t="s">
        <v>118</v>
      </c>
      <c r="H3" s="13" t="s">
        <v>602</v>
      </c>
      <c r="I3" s="18" t="s">
        <v>571</v>
      </c>
      <c r="J3" s="18" t="s">
        <v>603</v>
      </c>
      <c r="K3" s="18" t="s">
        <v>253</v>
      </c>
      <c r="L3" s="18" t="s">
        <v>260</v>
      </c>
      <c r="M3" s="18" t="s">
        <v>644</v>
      </c>
      <c r="N3" s="18" t="s">
        <v>586</v>
      </c>
    </row>
    <row r="4" spans="1:14" x14ac:dyDescent="0.35">
      <c r="A4" s="13" t="s">
        <v>723</v>
      </c>
      <c r="B4" s="13" t="s">
        <v>583</v>
      </c>
      <c r="C4" s="15" t="s">
        <v>724</v>
      </c>
      <c r="D4" s="13">
        <v>100</v>
      </c>
      <c r="E4" s="13" t="s">
        <v>182</v>
      </c>
      <c r="F4" s="13">
        <v>120</v>
      </c>
      <c r="G4" s="13" t="s">
        <v>25</v>
      </c>
      <c r="H4" s="13" t="s">
        <v>606</v>
      </c>
      <c r="I4" s="18" t="s">
        <v>26</v>
      </c>
      <c r="J4" s="18" t="s">
        <v>607</v>
      </c>
      <c r="K4" s="18" t="s">
        <v>242</v>
      </c>
      <c r="L4" s="18" t="s">
        <v>253</v>
      </c>
      <c r="M4" s="18" t="s">
        <v>627</v>
      </c>
      <c r="N4" s="18" t="s">
        <v>585</v>
      </c>
    </row>
    <row r="5" spans="1:14" x14ac:dyDescent="0.35">
      <c r="A5" s="13" t="s">
        <v>725</v>
      </c>
      <c r="B5" s="13" t="s">
        <v>573</v>
      </c>
      <c r="C5" s="15" t="s">
        <v>726</v>
      </c>
      <c r="D5" s="13">
        <v>409</v>
      </c>
      <c r="E5" s="13" t="s">
        <v>578</v>
      </c>
      <c r="F5" s="13">
        <v>400</v>
      </c>
      <c r="G5" s="13" t="s">
        <v>25</v>
      </c>
      <c r="H5" s="13" t="s">
        <v>606</v>
      </c>
      <c r="I5" s="18" t="s">
        <v>26</v>
      </c>
      <c r="J5" s="18" t="s">
        <v>607</v>
      </c>
      <c r="K5" s="18" t="s">
        <v>242</v>
      </c>
      <c r="L5" s="18" t="s">
        <v>253</v>
      </c>
      <c r="M5" s="18" t="s">
        <v>587</v>
      </c>
      <c r="N5" s="18" t="s">
        <v>591</v>
      </c>
    </row>
    <row r="6" spans="1:14" x14ac:dyDescent="0.35">
      <c r="A6" s="13" t="s">
        <v>727</v>
      </c>
      <c r="B6" s="13" t="s">
        <v>583</v>
      </c>
      <c r="C6" s="15" t="s">
        <v>728</v>
      </c>
      <c r="D6" s="13">
        <v>384</v>
      </c>
      <c r="E6" s="13" t="s">
        <v>75</v>
      </c>
      <c r="F6" s="13">
        <v>384</v>
      </c>
      <c r="G6" s="13" t="s">
        <v>11</v>
      </c>
      <c r="H6" s="13" t="s">
        <v>600</v>
      </c>
      <c r="I6" s="18" t="s">
        <v>572</v>
      </c>
      <c r="J6" s="18" t="s">
        <v>1281</v>
      </c>
      <c r="K6" s="18" t="s">
        <v>242</v>
      </c>
      <c r="L6" s="18" t="s">
        <v>253</v>
      </c>
      <c r="M6" s="18"/>
      <c r="N6" s="18" t="s">
        <v>585</v>
      </c>
    </row>
    <row r="7" spans="1:14" x14ac:dyDescent="0.35">
      <c r="A7" s="13" t="s">
        <v>729</v>
      </c>
      <c r="B7" s="13" t="s">
        <v>583</v>
      </c>
      <c r="C7" s="15" t="s">
        <v>730</v>
      </c>
      <c r="D7" s="13">
        <v>79</v>
      </c>
      <c r="E7" s="13" t="s">
        <v>71</v>
      </c>
      <c r="F7" s="13">
        <v>79</v>
      </c>
      <c r="G7" s="13" t="s">
        <v>103</v>
      </c>
      <c r="H7" s="13" t="s">
        <v>612</v>
      </c>
      <c r="I7" s="18" t="s">
        <v>17</v>
      </c>
      <c r="J7" s="18" t="s">
        <v>653</v>
      </c>
      <c r="K7" s="18" t="s">
        <v>253</v>
      </c>
      <c r="L7" s="18" t="s">
        <v>242</v>
      </c>
      <c r="M7" s="18" t="s">
        <v>654</v>
      </c>
      <c r="N7" s="18" t="s">
        <v>591</v>
      </c>
    </row>
    <row r="8" spans="1:14" x14ac:dyDescent="0.35">
      <c r="A8" s="13" t="s">
        <v>731</v>
      </c>
      <c r="B8" s="13" t="s">
        <v>583</v>
      </c>
      <c r="C8" s="15" t="s">
        <v>732</v>
      </c>
      <c r="D8" s="13">
        <v>62</v>
      </c>
      <c r="E8" s="13" t="s">
        <v>37</v>
      </c>
      <c r="F8" s="13">
        <v>352</v>
      </c>
      <c r="G8" s="13" t="s">
        <v>103</v>
      </c>
      <c r="H8" s="13" t="s">
        <v>612</v>
      </c>
      <c r="I8" s="18" t="s">
        <v>312</v>
      </c>
      <c r="J8" s="18" t="s">
        <v>656</v>
      </c>
      <c r="K8" s="18" t="s">
        <v>253</v>
      </c>
      <c r="L8" s="18" t="s">
        <v>253</v>
      </c>
      <c r="M8" s="18" t="s">
        <v>657</v>
      </c>
      <c r="N8" s="18" t="s">
        <v>585</v>
      </c>
    </row>
    <row r="9" spans="1:14" x14ac:dyDescent="0.35">
      <c r="A9" s="13" t="s">
        <v>733</v>
      </c>
      <c r="B9" s="13" t="s">
        <v>583</v>
      </c>
      <c r="C9" s="15" t="s">
        <v>734</v>
      </c>
      <c r="D9" s="13">
        <v>209</v>
      </c>
      <c r="E9" s="13" t="s">
        <v>349</v>
      </c>
      <c r="F9" s="13">
        <v>209</v>
      </c>
      <c r="G9" s="13" t="s">
        <v>118</v>
      </c>
      <c r="H9" s="13" t="s">
        <v>602</v>
      </c>
      <c r="I9" s="18" t="s">
        <v>571</v>
      </c>
      <c r="J9" s="18" t="s">
        <v>603</v>
      </c>
      <c r="K9" s="18" t="s">
        <v>260</v>
      </c>
      <c r="L9" s="18" t="s">
        <v>253</v>
      </c>
      <c r="M9" s="18" t="s">
        <v>584</v>
      </c>
      <c r="N9" s="18" t="s">
        <v>586</v>
      </c>
    </row>
    <row r="10" spans="1:14" x14ac:dyDescent="0.35">
      <c r="A10" s="13" t="s">
        <v>735</v>
      </c>
      <c r="B10" s="13" t="s">
        <v>583</v>
      </c>
      <c r="C10" s="15" t="s">
        <v>736</v>
      </c>
      <c r="D10" s="13">
        <v>611</v>
      </c>
      <c r="E10" s="13" t="s">
        <v>53</v>
      </c>
      <c r="F10" s="13">
        <v>611</v>
      </c>
      <c r="G10" s="13" t="s">
        <v>11</v>
      </c>
      <c r="H10" s="13" t="s">
        <v>600</v>
      </c>
      <c r="I10" s="18" t="s">
        <v>629</v>
      </c>
      <c r="J10" s="18" t="s">
        <v>630</v>
      </c>
      <c r="K10" s="18" t="s">
        <v>242</v>
      </c>
      <c r="L10" s="18" t="s">
        <v>260</v>
      </c>
      <c r="M10" s="18" t="s">
        <v>588</v>
      </c>
      <c r="N10" s="18" t="s">
        <v>589</v>
      </c>
    </row>
    <row r="11" spans="1:14" x14ac:dyDescent="0.35">
      <c r="A11" s="13" t="s">
        <v>737</v>
      </c>
      <c r="B11" s="13" t="s">
        <v>583</v>
      </c>
      <c r="C11" s="15" t="s">
        <v>738</v>
      </c>
      <c r="D11" s="13">
        <v>502</v>
      </c>
      <c r="E11" s="13" t="s">
        <v>62</v>
      </c>
      <c r="F11" s="13">
        <v>502</v>
      </c>
      <c r="G11" s="13" t="s">
        <v>103</v>
      </c>
      <c r="H11" s="13" t="s">
        <v>612</v>
      </c>
      <c r="I11" s="18" t="s">
        <v>572</v>
      </c>
      <c r="J11" s="18" t="s">
        <v>605</v>
      </c>
      <c r="K11" s="18" t="s">
        <v>242</v>
      </c>
      <c r="L11" s="18" t="s">
        <v>253</v>
      </c>
      <c r="M11" s="18" t="s">
        <v>705</v>
      </c>
      <c r="N11" s="18" t="s">
        <v>591</v>
      </c>
    </row>
    <row r="12" spans="1:14" x14ac:dyDescent="0.35">
      <c r="A12" s="13" t="s">
        <v>739</v>
      </c>
      <c r="B12" s="13" t="s">
        <v>583</v>
      </c>
      <c r="C12" s="15" t="s">
        <v>740</v>
      </c>
      <c r="D12" s="13">
        <v>215</v>
      </c>
      <c r="E12" s="13" t="s">
        <v>70</v>
      </c>
      <c r="F12" s="13">
        <v>16</v>
      </c>
      <c r="G12" s="13" t="s">
        <v>25</v>
      </c>
      <c r="H12" s="13" t="s">
        <v>606</v>
      </c>
      <c r="I12" s="18" t="s">
        <v>26</v>
      </c>
      <c r="J12" s="18" t="s">
        <v>607</v>
      </c>
      <c r="K12" s="18" t="s">
        <v>253</v>
      </c>
      <c r="L12" s="18" t="s">
        <v>242</v>
      </c>
      <c r="M12" s="18" t="s">
        <v>584</v>
      </c>
      <c r="N12" s="18" t="s">
        <v>591</v>
      </c>
    </row>
    <row r="13" spans="1:14" x14ac:dyDescent="0.35">
      <c r="A13" s="13" t="s">
        <v>741</v>
      </c>
      <c r="B13" s="13" t="s">
        <v>573</v>
      </c>
      <c r="C13" s="15" t="s">
        <v>742</v>
      </c>
      <c r="D13" s="13">
        <v>94</v>
      </c>
      <c r="E13" s="13" t="s">
        <v>57</v>
      </c>
      <c r="F13" s="13">
        <v>300</v>
      </c>
      <c r="G13" s="13" t="s">
        <v>11</v>
      </c>
      <c r="H13" s="13" t="s">
        <v>600</v>
      </c>
      <c r="I13" s="18" t="s">
        <v>572</v>
      </c>
      <c r="J13" s="18" t="s">
        <v>605</v>
      </c>
      <c r="K13" s="18" t="s">
        <v>242</v>
      </c>
      <c r="L13" s="18" t="s">
        <v>253</v>
      </c>
      <c r="M13" s="18" t="s">
        <v>581</v>
      </c>
      <c r="N13" s="18" t="s">
        <v>595</v>
      </c>
    </row>
    <row r="14" spans="1:14" x14ac:dyDescent="0.35">
      <c r="A14" s="13" t="s">
        <v>743</v>
      </c>
      <c r="B14" s="13" t="s">
        <v>573</v>
      </c>
      <c r="C14" s="15" t="s">
        <v>744</v>
      </c>
      <c r="D14" s="13">
        <v>319</v>
      </c>
      <c r="E14" s="13" t="s">
        <v>400</v>
      </c>
      <c r="F14" s="13">
        <v>319</v>
      </c>
      <c r="G14" s="13" t="s">
        <v>118</v>
      </c>
      <c r="H14" s="13" t="s">
        <v>602</v>
      </c>
      <c r="I14" s="18" t="s">
        <v>379</v>
      </c>
      <c r="J14" s="18" t="s">
        <v>712</v>
      </c>
      <c r="K14" s="18" t="s">
        <v>253</v>
      </c>
      <c r="L14" s="18" t="s">
        <v>253</v>
      </c>
      <c r="M14" s="18" t="s">
        <v>588</v>
      </c>
      <c r="N14" s="18" t="s">
        <v>586</v>
      </c>
    </row>
    <row r="15" spans="1:14" x14ac:dyDescent="0.35">
      <c r="A15" s="13" t="s">
        <v>745</v>
      </c>
      <c r="B15" s="13" t="s">
        <v>583</v>
      </c>
      <c r="C15" s="15" t="s">
        <v>746</v>
      </c>
      <c r="D15" s="13">
        <v>274</v>
      </c>
      <c r="E15" s="13" t="s">
        <v>715</v>
      </c>
      <c r="F15" s="13">
        <v>269</v>
      </c>
      <c r="G15" s="13" t="s">
        <v>311</v>
      </c>
      <c r="H15" s="13" t="s">
        <v>308</v>
      </c>
      <c r="I15" s="18" t="s">
        <v>312</v>
      </c>
      <c r="J15" s="18" t="s">
        <v>656</v>
      </c>
      <c r="K15" s="18" t="s">
        <v>242</v>
      </c>
      <c r="L15" s="18" t="s">
        <v>242</v>
      </c>
      <c r="M15" s="18" t="s">
        <v>581</v>
      </c>
      <c r="N15" s="18" t="s">
        <v>597</v>
      </c>
    </row>
    <row r="16" spans="1:14" x14ac:dyDescent="0.35">
      <c r="A16" s="13" t="s">
        <v>747</v>
      </c>
      <c r="B16" s="13" t="s">
        <v>583</v>
      </c>
      <c r="C16" s="15" t="s">
        <v>748</v>
      </c>
      <c r="D16" s="13">
        <v>66</v>
      </c>
      <c r="E16" s="13" t="s">
        <v>10</v>
      </c>
      <c r="F16" s="13">
        <v>89</v>
      </c>
      <c r="G16" s="13" t="s">
        <v>103</v>
      </c>
      <c r="H16" s="13" t="s">
        <v>612</v>
      </c>
      <c r="I16" s="18" t="s">
        <v>572</v>
      </c>
      <c r="J16" s="18" t="s">
        <v>605</v>
      </c>
      <c r="K16" s="18" t="s">
        <v>242</v>
      </c>
      <c r="L16" s="18" t="s">
        <v>242</v>
      </c>
      <c r="M16" s="18" t="s">
        <v>582</v>
      </c>
      <c r="N16" s="18" t="s">
        <v>585</v>
      </c>
    </row>
    <row r="17" spans="1:14" x14ac:dyDescent="0.35">
      <c r="A17" s="18" t="s">
        <v>749</v>
      </c>
      <c r="B17" s="18" t="s">
        <v>583</v>
      </c>
      <c r="C17" s="19" t="s">
        <v>750</v>
      </c>
      <c r="D17" s="18">
        <v>326</v>
      </c>
      <c r="E17" s="18" t="s">
        <v>718</v>
      </c>
      <c r="F17" s="18">
        <v>326</v>
      </c>
      <c r="G17" s="18" t="s">
        <v>118</v>
      </c>
      <c r="H17" s="18" t="s">
        <v>602</v>
      </c>
      <c r="I17" s="18" t="s">
        <v>379</v>
      </c>
      <c r="J17" s="18" t="s">
        <v>712</v>
      </c>
      <c r="K17" s="18" t="s">
        <v>253</v>
      </c>
      <c r="L17" s="18" t="s">
        <v>253</v>
      </c>
      <c r="M17" s="18" t="s">
        <v>644</v>
      </c>
      <c r="N17" s="18" t="s">
        <v>586</v>
      </c>
    </row>
    <row r="18" spans="1:14" x14ac:dyDescent="0.35">
      <c r="A18" s="16" t="s">
        <v>751</v>
      </c>
      <c r="B18" s="16" t="s">
        <v>583</v>
      </c>
      <c r="C18" s="17" t="s">
        <v>752</v>
      </c>
      <c r="D18" s="16">
        <v>434</v>
      </c>
      <c r="E18" s="16" t="s">
        <v>753</v>
      </c>
      <c r="F18" s="16">
        <v>434</v>
      </c>
      <c r="G18" s="16" t="s">
        <v>103</v>
      </c>
      <c r="H18" s="16" t="s">
        <v>612</v>
      </c>
      <c r="I18" s="16" t="s">
        <v>312</v>
      </c>
      <c r="J18" s="16" t="s">
        <v>656</v>
      </c>
      <c r="K18" s="16" t="s">
        <v>242</v>
      </c>
      <c r="L18" s="16" t="s">
        <v>242</v>
      </c>
      <c r="M18" s="16" t="s">
        <v>657</v>
      </c>
      <c r="N18" s="16" t="s">
        <v>585</v>
      </c>
    </row>
    <row r="19" spans="1:14" x14ac:dyDescent="0.35">
      <c r="A19" s="16" t="s">
        <v>754</v>
      </c>
      <c r="B19" s="16" t="s">
        <v>583</v>
      </c>
      <c r="C19" s="17" t="s">
        <v>755</v>
      </c>
      <c r="D19" s="16">
        <v>113</v>
      </c>
      <c r="E19" s="16" t="s">
        <v>626</v>
      </c>
      <c r="F19" s="16">
        <v>113</v>
      </c>
      <c r="G19" s="16" t="s">
        <v>118</v>
      </c>
      <c r="H19" s="16" t="s">
        <v>602</v>
      </c>
      <c r="I19" s="16" t="s">
        <v>379</v>
      </c>
      <c r="J19" s="16" t="s">
        <v>712</v>
      </c>
      <c r="K19" s="16" t="s">
        <v>253</v>
      </c>
      <c r="L19" s="16" t="s">
        <v>260</v>
      </c>
      <c r="M19" s="16" t="s">
        <v>654</v>
      </c>
      <c r="N19" s="16" t="s">
        <v>585</v>
      </c>
    </row>
    <row r="20" spans="1:14" x14ac:dyDescent="0.35">
      <c r="A20" s="16" t="s">
        <v>756</v>
      </c>
      <c r="B20" s="16" t="s">
        <v>583</v>
      </c>
      <c r="C20" s="17" t="s">
        <v>757</v>
      </c>
      <c r="D20" s="16">
        <v>94</v>
      </c>
      <c r="E20" s="16" t="s">
        <v>57</v>
      </c>
      <c r="F20" s="16">
        <v>94</v>
      </c>
      <c r="G20" s="16" t="s">
        <v>103</v>
      </c>
      <c r="H20" s="16" t="s">
        <v>612</v>
      </c>
      <c r="I20" s="16" t="s">
        <v>312</v>
      </c>
      <c r="J20" s="16" t="s">
        <v>656</v>
      </c>
      <c r="K20" s="16" t="s">
        <v>242</v>
      </c>
      <c r="L20" s="16" t="s">
        <v>242</v>
      </c>
      <c r="M20" s="16" t="s">
        <v>627</v>
      </c>
      <c r="N20" s="16" t="s">
        <v>585</v>
      </c>
    </row>
    <row r="21" spans="1:14" x14ac:dyDescent="0.35">
      <c r="A21" s="16" t="s">
        <v>758</v>
      </c>
      <c r="B21" s="16" t="s">
        <v>583</v>
      </c>
      <c r="C21" s="17" t="s">
        <v>759</v>
      </c>
      <c r="D21" s="16">
        <v>233</v>
      </c>
      <c r="E21" s="16" t="s">
        <v>221</v>
      </c>
      <c r="F21" s="16">
        <v>284</v>
      </c>
      <c r="G21" s="16" t="s">
        <v>760</v>
      </c>
      <c r="H21" s="16" t="s">
        <v>761</v>
      </c>
      <c r="I21" s="16" t="s">
        <v>762</v>
      </c>
      <c r="J21" s="16" t="s">
        <v>763</v>
      </c>
      <c r="K21" s="16" t="s">
        <v>242</v>
      </c>
      <c r="L21" s="16" t="s">
        <v>242</v>
      </c>
      <c r="M21" s="16" t="s">
        <v>584</v>
      </c>
      <c r="N21" s="16" t="s">
        <v>597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853D9-AAC8-4009-BE84-7BD817DEB147}">
  <dimension ref="A1:N19"/>
  <sheetViews>
    <sheetView topLeftCell="C1" workbookViewId="0">
      <selection activeCell="F17" sqref="F17"/>
    </sheetView>
  </sheetViews>
  <sheetFormatPr defaultRowHeight="15.5" x14ac:dyDescent="0.35"/>
  <cols>
    <col min="1" max="1" width="25.1796875" style="16" bestFit="1" customWidth="1"/>
    <col min="2" max="2" width="36.08984375" style="16" bestFit="1" customWidth="1"/>
    <col min="3" max="3" width="113.36328125" style="17" bestFit="1" customWidth="1"/>
    <col min="4" max="4" width="10.26953125" style="16" bestFit="1" customWidth="1"/>
    <col min="5" max="5" width="48.26953125" style="16" bestFit="1" customWidth="1"/>
    <col min="6" max="6" width="8" style="16" bestFit="1" customWidth="1"/>
    <col min="7" max="7" width="15.81640625" style="16" bestFit="1" customWidth="1"/>
    <col min="8" max="8" width="20" style="16" bestFit="1" customWidth="1"/>
    <col min="9" max="9" width="9.36328125" style="16" bestFit="1" customWidth="1"/>
    <col min="10" max="10" width="12.08984375" style="16" bestFit="1" customWidth="1"/>
    <col min="11" max="16384" width="8.7265625" style="16"/>
  </cols>
  <sheetData>
    <row r="1" spans="1:14" x14ac:dyDescent="0.35">
      <c r="A1" s="6" t="s">
        <v>0</v>
      </c>
      <c r="B1" s="6" t="s">
        <v>1</v>
      </c>
      <c r="C1" s="14" t="s">
        <v>2</v>
      </c>
      <c r="D1" s="6" t="s">
        <v>3</v>
      </c>
      <c r="E1" s="6" t="s">
        <v>4</v>
      </c>
      <c r="F1" s="6" t="s">
        <v>5</v>
      </c>
      <c r="G1" s="6" t="s">
        <v>6</v>
      </c>
      <c r="H1" s="6" t="s">
        <v>7</v>
      </c>
      <c r="I1" s="9" t="s">
        <v>240</v>
      </c>
      <c r="J1" s="9" t="s">
        <v>241</v>
      </c>
      <c r="K1" s="8"/>
      <c r="L1" s="8"/>
      <c r="M1" s="8"/>
      <c r="N1" s="8"/>
    </row>
    <row r="2" spans="1:14" x14ac:dyDescent="0.35">
      <c r="A2" s="13" t="s">
        <v>8</v>
      </c>
      <c r="B2" s="13" t="s">
        <v>167</v>
      </c>
      <c r="C2" s="15" t="s">
        <v>279</v>
      </c>
      <c r="D2" s="13">
        <v>66</v>
      </c>
      <c r="E2" s="13" t="s">
        <v>10</v>
      </c>
      <c r="F2" s="13">
        <v>89</v>
      </c>
      <c r="G2" s="13" t="s">
        <v>16</v>
      </c>
      <c r="H2" s="13" t="s">
        <v>168</v>
      </c>
      <c r="I2" s="18" t="s">
        <v>242</v>
      </c>
      <c r="J2" s="18" t="s">
        <v>243</v>
      </c>
      <c r="K2" s="18"/>
      <c r="L2" s="18"/>
      <c r="M2" s="18"/>
      <c r="N2" s="18"/>
    </row>
    <row r="3" spans="1:14" x14ac:dyDescent="0.35">
      <c r="A3" s="13" t="s">
        <v>244</v>
      </c>
      <c r="B3" s="13" t="s">
        <v>245</v>
      </c>
      <c r="C3" s="15" t="s">
        <v>280</v>
      </c>
      <c r="D3" s="13">
        <v>565</v>
      </c>
      <c r="E3" s="13" t="s">
        <v>246</v>
      </c>
      <c r="F3" s="13">
        <v>276</v>
      </c>
      <c r="G3" s="13" t="s">
        <v>38</v>
      </c>
      <c r="H3" s="13" t="s">
        <v>247</v>
      </c>
      <c r="I3" s="18" t="s">
        <v>242</v>
      </c>
      <c r="J3" s="18" t="s">
        <v>243</v>
      </c>
      <c r="K3" s="18"/>
      <c r="L3" s="18"/>
      <c r="M3" s="18"/>
      <c r="N3" s="18"/>
    </row>
    <row r="4" spans="1:14" x14ac:dyDescent="0.35">
      <c r="A4" s="13" t="s">
        <v>248</v>
      </c>
      <c r="B4" s="13" t="s">
        <v>249</v>
      </c>
      <c r="C4" s="15" t="s">
        <v>250</v>
      </c>
      <c r="D4" s="13">
        <v>148</v>
      </c>
      <c r="E4" s="13" t="s">
        <v>251</v>
      </c>
      <c r="F4" s="13" t="s">
        <v>108</v>
      </c>
      <c r="G4" s="13" t="s">
        <v>130</v>
      </c>
      <c r="H4" s="13" t="s">
        <v>252</v>
      </c>
      <c r="I4" s="18" t="s">
        <v>253</v>
      </c>
      <c r="J4" s="18" t="s">
        <v>254</v>
      </c>
      <c r="K4" s="18"/>
      <c r="L4" s="18"/>
      <c r="M4" s="18"/>
      <c r="N4" s="18"/>
    </row>
    <row r="5" spans="1:14" x14ac:dyDescent="0.35">
      <c r="A5" s="13" t="s">
        <v>255</v>
      </c>
      <c r="B5" s="13" t="s">
        <v>256</v>
      </c>
      <c r="C5" s="15" t="s">
        <v>281</v>
      </c>
      <c r="D5" s="13">
        <v>269</v>
      </c>
      <c r="E5" s="13" t="s">
        <v>257</v>
      </c>
      <c r="F5" s="13">
        <v>250</v>
      </c>
      <c r="G5" s="13" t="s">
        <v>38</v>
      </c>
      <c r="H5" s="13" t="s">
        <v>247</v>
      </c>
      <c r="I5" s="18" t="s">
        <v>253</v>
      </c>
      <c r="J5" s="18" t="s">
        <v>243</v>
      </c>
      <c r="K5" s="18"/>
      <c r="L5" s="18"/>
      <c r="M5" s="18"/>
      <c r="N5" s="18"/>
    </row>
    <row r="6" spans="1:14" x14ac:dyDescent="0.35">
      <c r="A6" s="13" t="s">
        <v>258</v>
      </c>
      <c r="B6" s="13" t="s">
        <v>259</v>
      </c>
      <c r="C6" s="15" t="s">
        <v>282</v>
      </c>
      <c r="D6" s="13">
        <v>287</v>
      </c>
      <c r="E6" s="13" t="s">
        <v>66</v>
      </c>
      <c r="F6" s="13">
        <v>223</v>
      </c>
      <c r="G6" s="13" t="s">
        <v>25</v>
      </c>
      <c r="H6" s="13" t="s">
        <v>201</v>
      </c>
      <c r="I6" s="18" t="s">
        <v>260</v>
      </c>
      <c r="J6" s="18" t="s">
        <v>1281</v>
      </c>
      <c r="K6" s="18"/>
      <c r="L6" s="18"/>
      <c r="M6" s="18"/>
      <c r="N6" s="18"/>
    </row>
    <row r="7" spans="1:14" x14ac:dyDescent="0.35">
      <c r="A7" s="13" t="s">
        <v>262</v>
      </c>
      <c r="B7" s="13" t="s">
        <v>263</v>
      </c>
      <c r="C7" s="15" t="s">
        <v>264</v>
      </c>
      <c r="D7" s="13">
        <v>248</v>
      </c>
      <c r="E7" s="13" t="s">
        <v>265</v>
      </c>
      <c r="F7" s="13" t="s">
        <v>108</v>
      </c>
      <c r="G7" s="13" t="s">
        <v>16</v>
      </c>
      <c r="H7" s="13" t="s">
        <v>164</v>
      </c>
      <c r="I7" s="18" t="s">
        <v>242</v>
      </c>
      <c r="J7" s="18" t="s">
        <v>254</v>
      </c>
      <c r="K7" s="18"/>
      <c r="L7" s="18"/>
      <c r="M7" s="18"/>
      <c r="N7" s="18"/>
    </row>
    <row r="8" spans="1:14" x14ac:dyDescent="0.35">
      <c r="A8" s="13" t="s">
        <v>266</v>
      </c>
      <c r="B8" s="13" t="s">
        <v>267</v>
      </c>
      <c r="C8" s="15" t="s">
        <v>283</v>
      </c>
      <c r="D8" s="13">
        <v>1010</v>
      </c>
      <c r="E8" s="13" t="s">
        <v>268</v>
      </c>
      <c r="F8" s="13">
        <v>770</v>
      </c>
      <c r="G8" s="13" t="s">
        <v>25</v>
      </c>
      <c r="H8" s="13" t="s">
        <v>26</v>
      </c>
      <c r="I8" s="18" t="s">
        <v>253</v>
      </c>
      <c r="J8" s="18" t="s">
        <v>254</v>
      </c>
      <c r="K8" s="18"/>
      <c r="L8" s="18"/>
      <c r="M8" s="18"/>
      <c r="N8" s="18"/>
    </row>
    <row r="9" spans="1:14" x14ac:dyDescent="0.35">
      <c r="A9" s="13" t="s">
        <v>269</v>
      </c>
      <c r="B9" s="13" t="s">
        <v>270</v>
      </c>
      <c r="C9" s="15" t="s">
        <v>284</v>
      </c>
      <c r="D9" s="13">
        <v>532</v>
      </c>
      <c r="E9" s="13" t="s">
        <v>271</v>
      </c>
      <c r="F9" s="13">
        <v>200</v>
      </c>
      <c r="G9" s="13" t="s">
        <v>25</v>
      </c>
      <c r="H9" s="13" t="s">
        <v>272</v>
      </c>
      <c r="I9" s="18" t="s">
        <v>242</v>
      </c>
      <c r="J9" s="18" t="s">
        <v>254</v>
      </c>
      <c r="K9" s="18"/>
      <c r="L9" s="18"/>
      <c r="M9" s="18"/>
      <c r="N9" s="18"/>
    </row>
    <row r="10" spans="1:14" x14ac:dyDescent="0.35">
      <c r="A10" s="13" t="s">
        <v>273</v>
      </c>
      <c r="B10" s="13" t="s">
        <v>274</v>
      </c>
      <c r="C10" s="15" t="s">
        <v>285</v>
      </c>
      <c r="D10" s="13">
        <v>580</v>
      </c>
      <c r="E10" s="13" t="s">
        <v>275</v>
      </c>
      <c r="F10" s="13" t="s">
        <v>108</v>
      </c>
      <c r="G10" s="13" t="s">
        <v>130</v>
      </c>
      <c r="H10" s="13" t="s">
        <v>276</v>
      </c>
      <c r="I10" s="18" t="s">
        <v>242</v>
      </c>
      <c r="J10" s="18" t="s">
        <v>261</v>
      </c>
      <c r="K10" s="18"/>
      <c r="L10" s="18"/>
      <c r="M10" s="18"/>
      <c r="N10" s="18"/>
    </row>
    <row r="11" spans="1:14" x14ac:dyDescent="0.35">
      <c r="A11" s="13" t="s">
        <v>277</v>
      </c>
      <c r="B11" s="13" t="s">
        <v>278</v>
      </c>
      <c r="C11" s="15" t="s">
        <v>286</v>
      </c>
      <c r="D11" s="13">
        <v>215</v>
      </c>
      <c r="E11" s="13" t="s">
        <v>70</v>
      </c>
      <c r="F11" s="13" t="s">
        <v>108</v>
      </c>
      <c r="G11" s="13" t="s">
        <v>25</v>
      </c>
      <c r="H11" s="13" t="s">
        <v>164</v>
      </c>
      <c r="I11" s="18" t="s">
        <v>253</v>
      </c>
      <c r="J11" s="18" t="s">
        <v>243</v>
      </c>
      <c r="K11" s="18"/>
      <c r="L11" s="18"/>
      <c r="M11" s="18"/>
      <c r="N11" s="18"/>
    </row>
    <row r="12" spans="1:14" x14ac:dyDescent="0.35">
      <c r="A12" s="13" t="s">
        <v>55</v>
      </c>
      <c r="B12" s="13" t="s">
        <v>287</v>
      </c>
      <c r="C12" s="15" t="s">
        <v>288</v>
      </c>
      <c r="D12" s="13">
        <v>94</v>
      </c>
      <c r="E12" s="13" t="s">
        <v>57</v>
      </c>
      <c r="F12" s="13">
        <v>300</v>
      </c>
      <c r="G12" s="13" t="s">
        <v>103</v>
      </c>
      <c r="H12" s="13" t="s">
        <v>104</v>
      </c>
      <c r="I12" s="18" t="s">
        <v>253</v>
      </c>
      <c r="J12" s="18" t="s">
        <v>254</v>
      </c>
      <c r="K12" s="18"/>
      <c r="L12" s="18"/>
      <c r="M12" s="18"/>
      <c r="N12" s="18"/>
    </row>
    <row r="13" spans="1:14" x14ac:dyDescent="0.35">
      <c r="A13" s="13" t="s">
        <v>289</v>
      </c>
      <c r="B13" s="13" t="s">
        <v>290</v>
      </c>
      <c r="C13" s="15" t="s">
        <v>291</v>
      </c>
      <c r="D13" s="13">
        <v>294</v>
      </c>
      <c r="E13" s="13" t="s">
        <v>292</v>
      </c>
      <c r="F13" s="13">
        <v>294</v>
      </c>
      <c r="G13" s="13" t="s">
        <v>25</v>
      </c>
      <c r="H13" s="13" t="s">
        <v>293</v>
      </c>
      <c r="I13" s="18" t="s">
        <v>260</v>
      </c>
      <c r="J13" s="18" t="s">
        <v>254</v>
      </c>
      <c r="K13" s="18"/>
      <c r="L13" s="18"/>
      <c r="M13" s="18"/>
      <c r="N13" s="18"/>
    </row>
    <row r="14" spans="1:14" x14ac:dyDescent="0.35">
      <c r="A14" s="13" t="s">
        <v>294</v>
      </c>
      <c r="B14" s="13" t="s">
        <v>295</v>
      </c>
      <c r="C14" s="15" t="s">
        <v>296</v>
      </c>
      <c r="D14" s="13">
        <v>654</v>
      </c>
      <c r="E14" s="13" t="s">
        <v>297</v>
      </c>
      <c r="F14" s="13" t="s">
        <v>108</v>
      </c>
      <c r="G14" s="13" t="s">
        <v>38</v>
      </c>
      <c r="H14" s="13" t="s">
        <v>247</v>
      </c>
      <c r="I14" s="18" t="s">
        <v>242</v>
      </c>
      <c r="J14" s="18" t="s">
        <v>254</v>
      </c>
      <c r="K14" s="18"/>
      <c r="L14" s="18"/>
      <c r="M14" s="18"/>
      <c r="N14" s="18"/>
    </row>
    <row r="15" spans="1:14" x14ac:dyDescent="0.35">
      <c r="A15" s="13" t="s">
        <v>298</v>
      </c>
      <c r="B15" s="13" t="s">
        <v>299</v>
      </c>
      <c r="C15" s="15" t="s">
        <v>300</v>
      </c>
      <c r="D15" s="13">
        <v>650</v>
      </c>
      <c r="E15" s="13" t="s">
        <v>301</v>
      </c>
      <c r="F15" s="13" t="s">
        <v>108</v>
      </c>
      <c r="G15" s="13" t="s">
        <v>25</v>
      </c>
      <c r="H15" s="13" t="s">
        <v>67</v>
      </c>
      <c r="I15" s="18" t="s">
        <v>253</v>
      </c>
      <c r="J15" s="18" t="s">
        <v>254</v>
      </c>
      <c r="K15" s="18"/>
      <c r="L15" s="18"/>
      <c r="M15" s="18"/>
      <c r="N15" s="18"/>
    </row>
    <row r="16" spans="1:14" x14ac:dyDescent="0.35">
      <c r="A16" s="13" t="s">
        <v>302</v>
      </c>
      <c r="B16" s="13" t="s">
        <v>303</v>
      </c>
      <c r="C16" s="15" t="s">
        <v>304</v>
      </c>
      <c r="D16" s="13">
        <v>668</v>
      </c>
      <c r="E16" s="13" t="s">
        <v>305</v>
      </c>
      <c r="F16" s="13" t="s">
        <v>108</v>
      </c>
      <c r="G16" s="13" t="s">
        <v>306</v>
      </c>
      <c r="H16" s="13" t="s">
        <v>307</v>
      </c>
      <c r="I16" s="18" t="s">
        <v>260</v>
      </c>
      <c r="J16" s="18" t="s">
        <v>261</v>
      </c>
      <c r="K16" s="18"/>
      <c r="L16" s="18"/>
      <c r="M16" s="18"/>
      <c r="N16" s="18"/>
    </row>
    <row r="17" spans="1:14" x14ac:dyDescent="0.35">
      <c r="A17" s="18" t="s">
        <v>308</v>
      </c>
      <c r="B17" s="18" t="s">
        <v>309</v>
      </c>
      <c r="C17" s="19" t="s">
        <v>310</v>
      </c>
      <c r="D17" s="18">
        <v>269</v>
      </c>
      <c r="E17" s="18" t="s">
        <v>257</v>
      </c>
      <c r="F17" s="18">
        <v>269</v>
      </c>
      <c r="G17" s="18" t="s">
        <v>311</v>
      </c>
      <c r="H17" s="18" t="s">
        <v>312</v>
      </c>
      <c r="I17" s="18" t="s">
        <v>242</v>
      </c>
      <c r="J17" s="18" t="s">
        <v>254</v>
      </c>
      <c r="K17" s="18"/>
      <c r="L17" s="18"/>
      <c r="M17" s="18"/>
      <c r="N17" s="18"/>
    </row>
    <row r="18" spans="1:14" x14ac:dyDescent="0.35">
      <c r="A18" s="16" t="s">
        <v>313</v>
      </c>
      <c r="B18" s="16" t="s">
        <v>314</v>
      </c>
      <c r="C18" s="17" t="s">
        <v>315</v>
      </c>
      <c r="D18" s="16">
        <v>505</v>
      </c>
      <c r="E18" s="16" t="s">
        <v>316</v>
      </c>
      <c r="F18" s="16" t="s">
        <v>108</v>
      </c>
      <c r="G18" s="16" t="s">
        <v>16</v>
      </c>
      <c r="H18" s="16" t="s">
        <v>317</v>
      </c>
      <c r="I18" s="16" t="s">
        <v>260</v>
      </c>
      <c r="J18" s="16" t="s">
        <v>254</v>
      </c>
    </row>
    <row r="19" spans="1:14" x14ac:dyDescent="0.35">
      <c r="A19" s="16" t="s">
        <v>318</v>
      </c>
      <c r="B19" s="16" t="s">
        <v>319</v>
      </c>
      <c r="C19" s="17" t="s">
        <v>320</v>
      </c>
      <c r="D19" s="16">
        <v>473</v>
      </c>
      <c r="E19" s="16" t="s">
        <v>321</v>
      </c>
      <c r="F19" s="16" t="s">
        <v>108</v>
      </c>
      <c r="G19" s="16" t="s">
        <v>130</v>
      </c>
      <c r="H19" s="16" t="s">
        <v>252</v>
      </c>
      <c r="I19" s="16" t="s">
        <v>253</v>
      </c>
      <c r="J19" s="16" t="s">
        <v>261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9BD98-4F6D-47E3-86BF-9CAD5436E1BA}">
  <dimension ref="A1:N17"/>
  <sheetViews>
    <sheetView topLeftCell="F1" workbookViewId="0">
      <selection activeCell="C17" sqref="C17"/>
    </sheetView>
  </sheetViews>
  <sheetFormatPr defaultRowHeight="15.5" x14ac:dyDescent="0.35"/>
  <cols>
    <col min="1" max="1" width="33" style="16" bestFit="1" customWidth="1"/>
    <col min="2" max="2" width="16.7265625" style="16" bestFit="1" customWidth="1"/>
    <col min="3" max="3" width="100.36328125" style="17" bestFit="1" customWidth="1"/>
    <col min="4" max="4" width="12.54296875" style="16" bestFit="1" customWidth="1"/>
    <col min="5" max="5" width="42.7265625" style="16" bestFit="1" customWidth="1"/>
    <col min="6" max="6" width="10.26953125" style="16" bestFit="1" customWidth="1"/>
    <col min="7" max="7" width="18.08984375" style="16" bestFit="1" customWidth="1"/>
    <col min="8" max="8" width="26.90625" style="16" bestFit="1" customWidth="1"/>
    <col min="9" max="9" width="24.90625" style="16" bestFit="1" customWidth="1"/>
    <col min="10" max="10" width="49.36328125" style="16" bestFit="1" customWidth="1"/>
    <col min="11" max="11" width="11.6328125" style="16" bestFit="1" customWidth="1"/>
    <col min="12" max="12" width="14.36328125" style="16" bestFit="1" customWidth="1"/>
    <col min="13" max="13" width="33.7265625" style="16" bestFit="1" customWidth="1"/>
    <col min="14" max="14" width="39.453125" style="16" bestFit="1" customWidth="1"/>
    <col min="15" max="16384" width="8.7265625" style="16"/>
  </cols>
  <sheetData>
    <row r="1" spans="1:14" x14ac:dyDescent="0.35">
      <c r="A1" s="6" t="s">
        <v>0</v>
      </c>
      <c r="B1" s="6" t="s">
        <v>567</v>
      </c>
      <c r="C1" s="14" t="s">
        <v>2</v>
      </c>
      <c r="D1" s="6" t="s">
        <v>3</v>
      </c>
      <c r="E1" s="6" t="s">
        <v>4</v>
      </c>
      <c r="F1" s="6" t="s">
        <v>5</v>
      </c>
      <c r="G1" s="6" t="s">
        <v>6</v>
      </c>
      <c r="H1" s="6" t="s">
        <v>598</v>
      </c>
      <c r="I1" s="9" t="s">
        <v>7</v>
      </c>
      <c r="J1" s="9" t="s">
        <v>599</v>
      </c>
      <c r="K1" s="8" t="s">
        <v>240</v>
      </c>
      <c r="L1" s="8" t="s">
        <v>241</v>
      </c>
      <c r="M1" s="8" t="s">
        <v>579</v>
      </c>
      <c r="N1" s="8" t="s">
        <v>580</v>
      </c>
    </row>
    <row r="2" spans="1:14" ht="42.5" x14ac:dyDescent="0.35">
      <c r="A2" s="13" t="s">
        <v>892</v>
      </c>
      <c r="B2" s="13" t="s">
        <v>568</v>
      </c>
      <c r="C2" s="15" t="s">
        <v>934</v>
      </c>
      <c r="D2" s="13">
        <v>112</v>
      </c>
      <c r="E2" s="13" t="s">
        <v>569</v>
      </c>
      <c r="F2" s="13">
        <v>307</v>
      </c>
      <c r="G2" s="13" t="s">
        <v>118</v>
      </c>
      <c r="H2" s="13" t="s">
        <v>602</v>
      </c>
      <c r="I2" s="18" t="s">
        <v>67</v>
      </c>
      <c r="J2" s="18" t="s">
        <v>894</v>
      </c>
      <c r="K2" s="18" t="s">
        <v>253</v>
      </c>
      <c r="L2" s="18" t="s">
        <v>242</v>
      </c>
      <c r="M2" s="18" t="s">
        <v>618</v>
      </c>
      <c r="N2" s="18" t="s">
        <v>857</v>
      </c>
    </row>
    <row r="3" spans="1:14" ht="28.5" x14ac:dyDescent="0.35">
      <c r="A3" s="13" t="s">
        <v>902</v>
      </c>
      <c r="B3" s="13" t="s">
        <v>583</v>
      </c>
      <c r="C3" s="15" t="s">
        <v>937</v>
      </c>
      <c r="D3" s="13">
        <v>15</v>
      </c>
      <c r="E3" s="13" t="s">
        <v>880</v>
      </c>
      <c r="F3" s="13">
        <v>16</v>
      </c>
      <c r="G3" s="13" t="s">
        <v>118</v>
      </c>
      <c r="H3" s="13" t="s">
        <v>602</v>
      </c>
      <c r="I3" s="18" t="s">
        <v>379</v>
      </c>
      <c r="J3" s="18" t="s">
        <v>712</v>
      </c>
      <c r="K3" s="18" t="s">
        <v>242</v>
      </c>
      <c r="L3" s="18" t="s">
        <v>242</v>
      </c>
      <c r="M3" s="18" t="s">
        <v>584</v>
      </c>
      <c r="N3" s="18" t="s">
        <v>586</v>
      </c>
    </row>
    <row r="4" spans="1:14" ht="28.5" x14ac:dyDescent="0.35">
      <c r="A4" s="13" t="s">
        <v>468</v>
      </c>
      <c r="B4" s="13" t="s">
        <v>568</v>
      </c>
      <c r="C4" s="15" t="s">
        <v>933</v>
      </c>
      <c r="D4" s="13">
        <v>540</v>
      </c>
      <c r="E4" s="13" t="s">
        <v>570</v>
      </c>
      <c r="F4" s="13">
        <v>200</v>
      </c>
      <c r="G4" s="13" t="s">
        <v>103</v>
      </c>
      <c r="H4" s="13" t="s">
        <v>612</v>
      </c>
      <c r="I4" s="18" t="s">
        <v>890</v>
      </c>
      <c r="J4" s="18" t="s">
        <v>891</v>
      </c>
      <c r="K4" s="18" t="s">
        <v>242</v>
      </c>
      <c r="L4" s="18" t="s">
        <v>242</v>
      </c>
      <c r="M4" s="18" t="s">
        <v>584</v>
      </c>
      <c r="N4" s="18" t="s">
        <v>855</v>
      </c>
    </row>
    <row r="5" spans="1:14" ht="28.5" x14ac:dyDescent="0.35">
      <c r="A5" s="13" t="s">
        <v>922</v>
      </c>
      <c r="B5" s="13" t="s">
        <v>568</v>
      </c>
      <c r="C5" s="15" t="s">
        <v>938</v>
      </c>
      <c r="D5" s="13">
        <v>154</v>
      </c>
      <c r="E5" s="13" t="s">
        <v>923</v>
      </c>
      <c r="F5" s="13">
        <v>154</v>
      </c>
      <c r="G5" s="13" t="s">
        <v>16</v>
      </c>
      <c r="H5" s="13" t="s">
        <v>877</v>
      </c>
      <c r="I5" s="18" t="s">
        <v>785</v>
      </c>
      <c r="J5" s="18" t="s">
        <v>924</v>
      </c>
      <c r="K5" s="18" t="s">
        <v>242</v>
      </c>
      <c r="L5" s="18" t="s">
        <v>242</v>
      </c>
      <c r="M5" s="18" t="s">
        <v>592</v>
      </c>
      <c r="N5" s="18" t="s">
        <v>591</v>
      </c>
    </row>
    <row r="6" spans="1:14" ht="28.5" x14ac:dyDescent="0.35">
      <c r="A6" s="13" t="s">
        <v>929</v>
      </c>
      <c r="B6" s="13" t="s">
        <v>568</v>
      </c>
      <c r="C6" s="15" t="s">
        <v>940</v>
      </c>
      <c r="D6" s="13">
        <v>153</v>
      </c>
      <c r="E6" s="13" t="s">
        <v>865</v>
      </c>
      <c r="F6" s="13">
        <v>153</v>
      </c>
      <c r="G6" s="13" t="s">
        <v>103</v>
      </c>
      <c r="H6" s="13" t="s">
        <v>612</v>
      </c>
      <c r="I6" s="18" t="s">
        <v>534</v>
      </c>
      <c r="J6" s="18" t="s">
        <v>1281</v>
      </c>
      <c r="K6" s="18" t="s">
        <v>253</v>
      </c>
      <c r="L6" s="18" t="s">
        <v>253</v>
      </c>
      <c r="M6" s="18" t="s">
        <v>705</v>
      </c>
      <c r="N6" s="18" t="s">
        <v>586</v>
      </c>
    </row>
    <row r="7" spans="1:14" ht="28.5" x14ac:dyDescent="0.35">
      <c r="A7" s="13" t="s">
        <v>925</v>
      </c>
      <c r="B7" s="13" t="s">
        <v>583</v>
      </c>
      <c r="C7" s="15" t="s">
        <v>939</v>
      </c>
      <c r="D7" s="13">
        <v>212</v>
      </c>
      <c r="E7" s="13" t="s">
        <v>95</v>
      </c>
      <c r="F7" s="13">
        <v>212</v>
      </c>
      <c r="G7" s="13" t="s">
        <v>38</v>
      </c>
      <c r="H7" s="13" t="s">
        <v>926</v>
      </c>
      <c r="I7" s="18" t="s">
        <v>927</v>
      </c>
      <c r="J7" s="18" t="s">
        <v>928</v>
      </c>
      <c r="K7" s="18" t="s">
        <v>242</v>
      </c>
      <c r="L7" s="18" t="s">
        <v>253</v>
      </c>
      <c r="M7" s="18" t="s">
        <v>581</v>
      </c>
      <c r="N7" s="18" t="s">
        <v>591</v>
      </c>
    </row>
    <row r="8" spans="1:14" ht="42.5" x14ac:dyDescent="0.35">
      <c r="A8" s="13" t="s">
        <v>308</v>
      </c>
      <c r="B8" s="13" t="s">
        <v>568</v>
      </c>
      <c r="C8" s="15" t="s">
        <v>932</v>
      </c>
      <c r="D8" s="13">
        <v>274</v>
      </c>
      <c r="E8" s="13" t="s">
        <v>715</v>
      </c>
      <c r="F8" s="13">
        <v>269</v>
      </c>
      <c r="G8" s="13" t="s">
        <v>311</v>
      </c>
      <c r="H8" s="13" t="s">
        <v>308</v>
      </c>
      <c r="I8" s="18" t="s">
        <v>312</v>
      </c>
      <c r="J8" s="18" t="s">
        <v>656</v>
      </c>
      <c r="K8" s="18" t="s">
        <v>242</v>
      </c>
      <c r="L8" s="18" t="s">
        <v>253</v>
      </c>
      <c r="M8" s="18" t="s">
        <v>581</v>
      </c>
      <c r="N8" s="18" t="s">
        <v>591</v>
      </c>
    </row>
    <row r="9" spans="1:14" ht="42.5" x14ac:dyDescent="0.35">
      <c r="A9" s="13" t="s">
        <v>8</v>
      </c>
      <c r="B9" s="13" t="s">
        <v>568</v>
      </c>
      <c r="C9" s="15" t="s">
        <v>931</v>
      </c>
      <c r="D9" s="13">
        <v>66</v>
      </c>
      <c r="E9" s="13" t="s">
        <v>10</v>
      </c>
      <c r="F9" s="13">
        <v>89</v>
      </c>
      <c r="G9" s="13" t="s">
        <v>118</v>
      </c>
      <c r="H9" s="13" t="s">
        <v>602</v>
      </c>
      <c r="I9" s="18" t="s">
        <v>884</v>
      </c>
      <c r="J9" s="18" t="s">
        <v>885</v>
      </c>
      <c r="K9" s="18" t="s">
        <v>242</v>
      </c>
      <c r="L9" s="18" t="s">
        <v>242</v>
      </c>
      <c r="M9" s="18" t="s">
        <v>582</v>
      </c>
      <c r="N9" s="18" t="s">
        <v>585</v>
      </c>
    </row>
    <row r="10" spans="1:14" ht="42.5" x14ac:dyDescent="0.35">
      <c r="A10" s="13" t="s">
        <v>897</v>
      </c>
      <c r="B10" s="13" t="s">
        <v>568</v>
      </c>
      <c r="C10" s="15" t="s">
        <v>936</v>
      </c>
      <c r="D10" s="13">
        <v>91</v>
      </c>
      <c r="E10" s="13" t="s">
        <v>898</v>
      </c>
      <c r="F10" s="13">
        <v>91</v>
      </c>
      <c r="G10" s="13" t="s">
        <v>16</v>
      </c>
      <c r="H10" s="13" t="s">
        <v>877</v>
      </c>
      <c r="I10" s="18" t="s">
        <v>899</v>
      </c>
      <c r="J10" s="18" t="s">
        <v>900</v>
      </c>
      <c r="K10" s="18" t="s">
        <v>242</v>
      </c>
      <c r="L10" s="18" t="s">
        <v>253</v>
      </c>
      <c r="M10" s="18" t="s">
        <v>582</v>
      </c>
      <c r="N10" s="18" t="s">
        <v>586</v>
      </c>
    </row>
    <row r="11" spans="1:14" ht="28.5" x14ac:dyDescent="0.35">
      <c r="A11" s="13" t="s">
        <v>921</v>
      </c>
      <c r="B11" s="13" t="s">
        <v>583</v>
      </c>
      <c r="C11" s="15" t="s">
        <v>935</v>
      </c>
      <c r="D11" s="13">
        <v>153</v>
      </c>
      <c r="E11" s="13" t="s">
        <v>865</v>
      </c>
      <c r="F11" s="13">
        <v>362</v>
      </c>
      <c r="G11" s="13" t="s">
        <v>25</v>
      </c>
      <c r="H11" s="13" t="s">
        <v>606</v>
      </c>
      <c r="I11" s="18" t="s">
        <v>276</v>
      </c>
      <c r="J11" s="18" t="s">
        <v>883</v>
      </c>
      <c r="K11" s="18" t="s">
        <v>242</v>
      </c>
      <c r="L11" s="18" t="s">
        <v>242</v>
      </c>
      <c r="M11" s="18" t="s">
        <v>592</v>
      </c>
      <c r="N11" s="18" t="s">
        <v>597</v>
      </c>
    </row>
    <row r="12" spans="1:14" x14ac:dyDescent="0.35">
      <c r="A12" s="13"/>
      <c r="B12" s="13"/>
      <c r="C12" s="15"/>
      <c r="D12" s="13"/>
      <c r="E12" s="13"/>
      <c r="F12" s="13"/>
      <c r="G12" s="13"/>
      <c r="H12" s="13"/>
      <c r="I12" s="18"/>
      <c r="J12" s="18"/>
      <c r="K12" s="18"/>
      <c r="L12" s="18"/>
      <c r="M12" s="18"/>
      <c r="N12" s="18"/>
    </row>
    <row r="13" spans="1:14" x14ac:dyDescent="0.35">
      <c r="A13" s="13"/>
      <c r="B13" s="13"/>
      <c r="C13" s="15"/>
      <c r="D13" s="13"/>
      <c r="E13" s="13"/>
      <c r="F13" s="13"/>
      <c r="G13" s="13"/>
      <c r="H13" s="13"/>
      <c r="I13" s="18"/>
      <c r="J13" s="18"/>
      <c r="K13" s="18"/>
      <c r="L13" s="18"/>
      <c r="M13" s="18"/>
      <c r="N13" s="18"/>
    </row>
    <row r="14" spans="1:14" x14ac:dyDescent="0.35">
      <c r="A14" s="13"/>
      <c r="B14" s="13"/>
      <c r="C14" s="15"/>
      <c r="D14" s="13"/>
      <c r="E14" s="13"/>
      <c r="F14" s="13"/>
      <c r="G14" s="13"/>
      <c r="H14" s="13"/>
      <c r="I14" s="18"/>
      <c r="J14" s="18"/>
      <c r="K14" s="18"/>
      <c r="L14" s="18"/>
      <c r="M14" s="18"/>
      <c r="N14" s="18"/>
    </row>
    <row r="15" spans="1:14" x14ac:dyDescent="0.35">
      <c r="A15" s="13"/>
      <c r="B15" s="13"/>
      <c r="C15" s="15"/>
      <c r="D15" s="13"/>
      <c r="E15" s="13"/>
      <c r="F15" s="13"/>
      <c r="G15" s="13"/>
      <c r="H15" s="13"/>
      <c r="I15" s="18"/>
      <c r="J15" s="18"/>
      <c r="K15" s="18"/>
      <c r="L15" s="18"/>
      <c r="M15" s="18"/>
      <c r="N15" s="18"/>
    </row>
    <row r="16" spans="1:14" x14ac:dyDescent="0.35">
      <c r="A16" s="13"/>
      <c r="B16" s="13"/>
      <c r="C16" s="15"/>
      <c r="D16" s="13"/>
      <c r="E16" s="13"/>
      <c r="F16" s="13"/>
      <c r="G16" s="13"/>
      <c r="H16" s="13"/>
      <c r="I16" s="18"/>
      <c r="J16" s="18"/>
      <c r="K16" s="18"/>
      <c r="L16" s="18"/>
      <c r="M16" s="18"/>
      <c r="N16" s="18"/>
    </row>
    <row r="17" spans="1:14" x14ac:dyDescent="0.35">
      <c r="A17" s="18"/>
      <c r="B17" s="18"/>
      <c r="C17" s="19"/>
      <c r="D17" s="18"/>
      <c r="E17" s="18"/>
      <c r="F17" s="18"/>
      <c r="G17" s="18"/>
      <c r="H17" s="18"/>
      <c r="I17" s="18"/>
      <c r="J17" s="18"/>
      <c r="K17" s="18"/>
      <c r="L17" s="18"/>
      <c r="M17" s="18"/>
      <c r="N17" s="18"/>
    </row>
  </sheetData>
  <autoFilter ref="A1:N21" xr:uid="{8F59BD98-4F6D-47E3-86BF-9CAD5436E1BA}">
    <sortState xmlns:xlrd2="http://schemas.microsoft.com/office/spreadsheetml/2017/richdata2" ref="A2:N21">
      <sortCondition ref="A1:A21"/>
    </sortState>
  </autoFilter>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A6ECB9-AA00-4A86-84AE-ABB96DED613B}">
  <dimension ref="A1:N17"/>
  <sheetViews>
    <sheetView workbookViewId="0">
      <selection activeCell="C17" sqref="C17"/>
    </sheetView>
  </sheetViews>
  <sheetFormatPr defaultRowHeight="15.5" x14ac:dyDescent="0.35"/>
  <cols>
    <col min="1" max="1" width="33.453125" style="16" bestFit="1" customWidth="1"/>
    <col min="2" max="2" width="16.7265625" style="16" bestFit="1" customWidth="1"/>
    <col min="3" max="3" width="99.81640625" style="17" bestFit="1" customWidth="1"/>
    <col min="4" max="4" width="12.54296875" style="16" bestFit="1" customWidth="1"/>
    <col min="5" max="5" width="42.7265625" style="16" bestFit="1" customWidth="1"/>
    <col min="6" max="6" width="10.26953125" style="16" bestFit="1" customWidth="1"/>
    <col min="7" max="7" width="18.08984375" style="16" bestFit="1" customWidth="1"/>
    <col min="8" max="8" width="26.90625" style="16" bestFit="1" customWidth="1"/>
    <col min="9" max="9" width="24.90625" style="16" bestFit="1" customWidth="1"/>
    <col min="10" max="10" width="63.1796875" style="16" bestFit="1" customWidth="1"/>
    <col min="11" max="11" width="11.6328125" style="16" bestFit="1" customWidth="1"/>
    <col min="12" max="12" width="14.36328125" style="16" bestFit="1" customWidth="1"/>
    <col min="13" max="13" width="36.453125" style="16" bestFit="1" customWidth="1"/>
    <col min="14" max="14" width="39.453125" style="16" bestFit="1" customWidth="1"/>
    <col min="15" max="16384" width="8.7265625" style="16"/>
  </cols>
  <sheetData>
    <row r="1" spans="1:14" x14ac:dyDescent="0.35">
      <c r="A1" s="6" t="s">
        <v>0</v>
      </c>
      <c r="B1" s="6" t="s">
        <v>567</v>
      </c>
      <c r="C1" s="14" t="s">
        <v>2</v>
      </c>
      <c r="D1" s="6" t="s">
        <v>3</v>
      </c>
      <c r="E1" s="6" t="s">
        <v>4</v>
      </c>
      <c r="F1" s="6" t="s">
        <v>5</v>
      </c>
      <c r="G1" s="6" t="s">
        <v>6</v>
      </c>
      <c r="H1" s="6" t="s">
        <v>598</v>
      </c>
      <c r="I1" s="9" t="s">
        <v>7</v>
      </c>
      <c r="J1" s="9" t="s">
        <v>599</v>
      </c>
      <c r="K1" s="8" t="s">
        <v>240</v>
      </c>
      <c r="L1" s="8" t="s">
        <v>241</v>
      </c>
      <c r="M1" s="8" t="s">
        <v>579</v>
      </c>
      <c r="N1" s="8" t="s">
        <v>580</v>
      </c>
    </row>
    <row r="2" spans="1:14" ht="28.5" x14ac:dyDescent="0.35">
      <c r="A2" s="13" t="s">
        <v>952</v>
      </c>
      <c r="B2" s="13" t="s">
        <v>568</v>
      </c>
      <c r="C2" s="15" t="s">
        <v>953</v>
      </c>
      <c r="D2" s="13">
        <v>603</v>
      </c>
      <c r="E2" s="13" t="s">
        <v>954</v>
      </c>
      <c r="F2" s="13">
        <v>522</v>
      </c>
      <c r="G2" s="13" t="s">
        <v>103</v>
      </c>
      <c r="H2" s="13" t="s">
        <v>612</v>
      </c>
      <c r="I2" s="18" t="s">
        <v>890</v>
      </c>
      <c r="J2" s="18" t="s">
        <v>891</v>
      </c>
      <c r="K2" s="18" t="s">
        <v>242</v>
      </c>
      <c r="L2" s="18" t="s">
        <v>253</v>
      </c>
      <c r="M2" s="18" t="s">
        <v>584</v>
      </c>
      <c r="N2" s="18" t="s">
        <v>591</v>
      </c>
    </row>
    <row r="3" spans="1:14" ht="28.5" x14ac:dyDescent="0.35">
      <c r="A3" s="13" t="s">
        <v>180</v>
      </c>
      <c r="B3" s="13" t="s">
        <v>568</v>
      </c>
      <c r="C3" s="15" t="s">
        <v>943</v>
      </c>
      <c r="D3" s="13">
        <v>100</v>
      </c>
      <c r="E3" s="13" t="s">
        <v>182</v>
      </c>
      <c r="F3" s="13">
        <v>120</v>
      </c>
      <c r="G3" s="13" t="s">
        <v>25</v>
      </c>
      <c r="H3" s="13" t="s">
        <v>606</v>
      </c>
      <c r="I3" s="18" t="s">
        <v>276</v>
      </c>
      <c r="J3" s="18" t="s">
        <v>883</v>
      </c>
      <c r="K3" s="18" t="s">
        <v>242</v>
      </c>
      <c r="L3" s="18" t="s">
        <v>242</v>
      </c>
      <c r="M3" s="18" t="s">
        <v>588</v>
      </c>
      <c r="N3" s="18" t="s">
        <v>855</v>
      </c>
    </row>
    <row r="4" spans="1:14" ht="28.5" x14ac:dyDescent="0.35">
      <c r="A4" s="13" t="s">
        <v>149</v>
      </c>
      <c r="B4" s="13" t="s">
        <v>568</v>
      </c>
      <c r="C4" s="15" t="s">
        <v>955</v>
      </c>
      <c r="D4" s="13">
        <v>88</v>
      </c>
      <c r="E4" s="13" t="s">
        <v>224</v>
      </c>
      <c r="F4" s="13">
        <v>78</v>
      </c>
      <c r="G4" s="13" t="s">
        <v>16</v>
      </c>
      <c r="H4" s="13" t="s">
        <v>877</v>
      </c>
      <c r="I4" s="18" t="s">
        <v>667</v>
      </c>
      <c r="J4" s="18" t="s">
        <v>668</v>
      </c>
      <c r="K4" s="18" t="s">
        <v>242</v>
      </c>
      <c r="L4" s="18" t="s">
        <v>242</v>
      </c>
      <c r="M4" s="18" t="s">
        <v>149</v>
      </c>
      <c r="N4" s="18" t="s">
        <v>591</v>
      </c>
    </row>
    <row r="5" spans="1:14" ht="28.5" x14ac:dyDescent="0.35">
      <c r="A5" s="13" t="s">
        <v>468</v>
      </c>
      <c r="B5" s="13" t="s">
        <v>568</v>
      </c>
      <c r="C5" s="15" t="s">
        <v>944</v>
      </c>
      <c r="D5" s="13">
        <v>540</v>
      </c>
      <c r="E5" s="13" t="s">
        <v>570</v>
      </c>
      <c r="F5" s="13">
        <v>200</v>
      </c>
      <c r="G5" s="13" t="s">
        <v>103</v>
      </c>
      <c r="H5" s="13" t="s">
        <v>612</v>
      </c>
      <c r="I5" s="18" t="s">
        <v>890</v>
      </c>
      <c r="J5" s="18" t="s">
        <v>891</v>
      </c>
      <c r="K5" s="18" t="s">
        <v>242</v>
      </c>
      <c r="L5" s="18" t="s">
        <v>242</v>
      </c>
      <c r="M5" s="18" t="s">
        <v>584</v>
      </c>
      <c r="N5" s="18" t="s">
        <v>855</v>
      </c>
    </row>
    <row r="6" spans="1:14" ht="42.5" x14ac:dyDescent="0.35">
      <c r="A6" s="13" t="s">
        <v>236</v>
      </c>
      <c r="B6" s="13" t="s">
        <v>568</v>
      </c>
      <c r="C6" s="15" t="s">
        <v>945</v>
      </c>
      <c r="D6" s="13">
        <v>645</v>
      </c>
      <c r="E6" s="13" t="s">
        <v>874</v>
      </c>
      <c r="F6" s="13">
        <v>400</v>
      </c>
      <c r="G6" s="13" t="s">
        <v>25</v>
      </c>
      <c r="H6" s="13" t="s">
        <v>606</v>
      </c>
      <c r="I6" s="18" t="s">
        <v>26</v>
      </c>
      <c r="J6" s="18" t="s">
        <v>1281</v>
      </c>
      <c r="K6" s="18" t="s">
        <v>242</v>
      </c>
      <c r="L6" s="18" t="s">
        <v>253</v>
      </c>
      <c r="M6" s="18" t="s">
        <v>587</v>
      </c>
      <c r="N6" s="18" t="s">
        <v>857</v>
      </c>
    </row>
    <row r="7" spans="1:14" ht="28.5" x14ac:dyDescent="0.35">
      <c r="A7" s="13" t="s">
        <v>950</v>
      </c>
      <c r="B7" s="13" t="s">
        <v>568</v>
      </c>
      <c r="C7" s="15" t="s">
        <v>951</v>
      </c>
      <c r="D7" s="13">
        <v>148</v>
      </c>
      <c r="E7" s="13" t="s">
        <v>251</v>
      </c>
      <c r="F7" s="13">
        <v>148</v>
      </c>
      <c r="G7" s="13" t="s">
        <v>103</v>
      </c>
      <c r="H7" s="13" t="s">
        <v>612</v>
      </c>
      <c r="I7" s="18" t="s">
        <v>534</v>
      </c>
      <c r="J7" s="18" t="s">
        <v>930</v>
      </c>
      <c r="K7" s="18" t="s">
        <v>253</v>
      </c>
      <c r="L7" s="18" t="s">
        <v>253</v>
      </c>
      <c r="M7" s="18" t="s">
        <v>705</v>
      </c>
      <c r="N7" s="18" t="s">
        <v>586</v>
      </c>
    </row>
    <row r="8" spans="1:14" ht="28.5" x14ac:dyDescent="0.35">
      <c r="A8" s="13" t="s">
        <v>308</v>
      </c>
      <c r="B8" s="13" t="s">
        <v>568</v>
      </c>
      <c r="C8" s="15" t="s">
        <v>942</v>
      </c>
      <c r="D8" s="13">
        <v>274</v>
      </c>
      <c r="E8" s="13" t="s">
        <v>715</v>
      </c>
      <c r="F8" s="13">
        <v>269</v>
      </c>
      <c r="G8" s="13" t="s">
        <v>311</v>
      </c>
      <c r="H8" s="13" t="s">
        <v>308</v>
      </c>
      <c r="I8" s="18" t="s">
        <v>312</v>
      </c>
      <c r="J8" s="18" t="s">
        <v>656</v>
      </c>
      <c r="K8" s="18" t="s">
        <v>242</v>
      </c>
      <c r="L8" s="18" t="s">
        <v>253</v>
      </c>
      <c r="M8" s="18" t="s">
        <v>581</v>
      </c>
      <c r="N8" s="18" t="s">
        <v>591</v>
      </c>
    </row>
    <row r="9" spans="1:14" ht="28.5" x14ac:dyDescent="0.35">
      <c r="A9" s="13" t="s">
        <v>8</v>
      </c>
      <c r="B9" s="13" t="s">
        <v>568</v>
      </c>
      <c r="C9" s="15" t="s">
        <v>941</v>
      </c>
      <c r="D9" s="13">
        <v>66</v>
      </c>
      <c r="E9" s="13" t="s">
        <v>10</v>
      </c>
      <c r="F9" s="13">
        <v>89</v>
      </c>
      <c r="G9" s="13" t="s">
        <v>118</v>
      </c>
      <c r="H9" s="13" t="s">
        <v>602</v>
      </c>
      <c r="I9" s="18" t="s">
        <v>884</v>
      </c>
      <c r="J9" s="18" t="s">
        <v>885</v>
      </c>
      <c r="K9" s="18" t="s">
        <v>242</v>
      </c>
      <c r="L9" s="18" t="s">
        <v>242</v>
      </c>
      <c r="M9" s="18" t="s">
        <v>582</v>
      </c>
      <c r="N9" s="18" t="s">
        <v>585</v>
      </c>
    </row>
    <row r="10" spans="1:14" ht="28.5" x14ac:dyDescent="0.35">
      <c r="A10" s="13" t="s">
        <v>948</v>
      </c>
      <c r="B10" s="13" t="s">
        <v>568</v>
      </c>
      <c r="C10" s="15" t="s">
        <v>949</v>
      </c>
      <c r="D10" s="13">
        <v>91</v>
      </c>
      <c r="E10" s="13" t="s">
        <v>898</v>
      </c>
      <c r="F10" s="13">
        <v>91</v>
      </c>
      <c r="G10" s="13" t="s">
        <v>16</v>
      </c>
      <c r="H10" s="13" t="s">
        <v>877</v>
      </c>
      <c r="I10" s="18" t="s">
        <v>899</v>
      </c>
      <c r="J10" s="18" t="s">
        <v>900</v>
      </c>
      <c r="K10" s="18" t="s">
        <v>242</v>
      </c>
      <c r="L10" s="18" t="s">
        <v>253</v>
      </c>
      <c r="M10" s="18" t="s">
        <v>582</v>
      </c>
      <c r="N10" s="18" t="s">
        <v>586</v>
      </c>
    </row>
    <row r="11" spans="1:14" ht="28.5" x14ac:dyDescent="0.35">
      <c r="A11" s="13" t="s">
        <v>946</v>
      </c>
      <c r="B11" s="13" t="s">
        <v>583</v>
      </c>
      <c r="C11" s="15" t="s">
        <v>947</v>
      </c>
      <c r="D11" s="13">
        <v>15</v>
      </c>
      <c r="E11" s="13" t="s">
        <v>880</v>
      </c>
      <c r="F11" s="13">
        <v>16</v>
      </c>
      <c r="G11" s="13" t="s">
        <v>118</v>
      </c>
      <c r="H11" s="13" t="s">
        <v>602</v>
      </c>
      <c r="I11" s="18" t="s">
        <v>379</v>
      </c>
      <c r="J11" s="18" t="s">
        <v>712</v>
      </c>
      <c r="K11" s="18" t="s">
        <v>242</v>
      </c>
      <c r="L11" s="18" t="s">
        <v>242</v>
      </c>
      <c r="M11" s="18" t="s">
        <v>584</v>
      </c>
      <c r="N11" s="18" t="s">
        <v>586</v>
      </c>
    </row>
    <row r="12" spans="1:14" x14ac:dyDescent="0.35">
      <c r="A12" s="13"/>
      <c r="B12" s="13"/>
      <c r="C12" s="15"/>
      <c r="D12" s="13"/>
      <c r="E12" s="13"/>
      <c r="F12" s="13"/>
      <c r="G12" s="13"/>
      <c r="H12" s="13"/>
      <c r="I12" s="18"/>
      <c r="J12" s="18"/>
      <c r="K12" s="18"/>
      <c r="L12" s="18"/>
      <c r="M12" s="18"/>
      <c r="N12" s="18"/>
    </row>
    <row r="13" spans="1:14" x14ac:dyDescent="0.35">
      <c r="A13" s="13"/>
      <c r="B13" s="13"/>
      <c r="C13" s="15"/>
      <c r="D13" s="13"/>
      <c r="E13" s="13"/>
      <c r="F13" s="13"/>
      <c r="G13" s="13"/>
      <c r="H13" s="13"/>
      <c r="I13" s="18"/>
      <c r="J13" s="18"/>
      <c r="K13" s="18"/>
      <c r="L13" s="18"/>
      <c r="M13" s="18"/>
      <c r="N13" s="18"/>
    </row>
    <row r="14" spans="1:14" x14ac:dyDescent="0.35">
      <c r="A14" s="13"/>
      <c r="B14" s="13"/>
      <c r="C14" s="15"/>
      <c r="D14" s="13"/>
      <c r="E14" s="13"/>
      <c r="F14" s="13"/>
      <c r="G14" s="13"/>
      <c r="H14" s="13"/>
      <c r="I14" s="18"/>
      <c r="J14" s="18"/>
      <c r="K14" s="18"/>
      <c r="L14" s="18"/>
      <c r="M14" s="18"/>
      <c r="N14" s="18"/>
    </row>
    <row r="15" spans="1:14" x14ac:dyDescent="0.35">
      <c r="A15" s="13"/>
      <c r="B15" s="13"/>
      <c r="C15" s="15"/>
      <c r="D15" s="13"/>
      <c r="E15" s="13"/>
      <c r="F15" s="13"/>
      <c r="G15" s="13"/>
      <c r="H15" s="13"/>
      <c r="I15" s="18"/>
      <c r="J15" s="18"/>
      <c r="K15" s="18"/>
      <c r="L15" s="18"/>
      <c r="M15" s="18"/>
      <c r="N15" s="18"/>
    </row>
    <row r="16" spans="1:14" x14ac:dyDescent="0.35">
      <c r="A16" s="13"/>
      <c r="B16" s="13"/>
      <c r="C16" s="15"/>
      <c r="D16" s="13"/>
      <c r="E16" s="13"/>
      <c r="F16" s="13"/>
      <c r="G16" s="13"/>
      <c r="H16" s="13"/>
      <c r="I16" s="18"/>
      <c r="J16" s="18"/>
      <c r="K16" s="18"/>
      <c r="L16" s="18"/>
      <c r="M16" s="18"/>
      <c r="N16" s="18"/>
    </row>
    <row r="17" spans="1:14" x14ac:dyDescent="0.35">
      <c r="A17" s="18"/>
      <c r="B17" s="18"/>
      <c r="C17" s="19"/>
      <c r="D17" s="18"/>
      <c r="E17" s="18"/>
      <c r="F17" s="18"/>
      <c r="G17" s="18"/>
      <c r="H17" s="18"/>
      <c r="I17" s="18"/>
      <c r="J17" s="18"/>
      <c r="K17" s="18"/>
      <c r="L17" s="18"/>
      <c r="M17" s="18"/>
      <c r="N17" s="18"/>
    </row>
  </sheetData>
  <autoFilter ref="A1:N21" xr:uid="{ABA6ECB9-AA00-4A86-84AE-ABB96DED613B}">
    <sortState xmlns:xlrd2="http://schemas.microsoft.com/office/spreadsheetml/2017/richdata2" ref="A2:N21">
      <sortCondition ref="A1:A21"/>
    </sortState>
  </autoFilter>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ECBFF-232E-4A1E-B487-0386DB950C0E}">
  <dimension ref="A1:N17"/>
  <sheetViews>
    <sheetView workbookViewId="0">
      <selection activeCell="C17" sqref="C17"/>
    </sheetView>
  </sheetViews>
  <sheetFormatPr defaultRowHeight="15.5" x14ac:dyDescent="0.35"/>
  <cols>
    <col min="1" max="1" width="30.6328125" style="16" bestFit="1" customWidth="1"/>
    <col min="2" max="2" width="16.7265625" style="16" bestFit="1" customWidth="1"/>
    <col min="3" max="3" width="132.54296875" style="17" bestFit="1" customWidth="1"/>
    <col min="4" max="4" width="12.54296875" style="16" bestFit="1" customWidth="1"/>
    <col min="5" max="5" width="42.7265625" style="16" bestFit="1" customWidth="1"/>
    <col min="6" max="6" width="10.26953125" style="16" bestFit="1" customWidth="1"/>
    <col min="7" max="7" width="18.08984375" style="16" bestFit="1" customWidth="1"/>
    <col min="8" max="8" width="26.90625" style="16" bestFit="1" customWidth="1"/>
    <col min="9" max="9" width="24.90625" style="16" bestFit="1" customWidth="1"/>
    <col min="10" max="10" width="39.7265625" style="16" bestFit="1" customWidth="1"/>
    <col min="11" max="11" width="11.6328125" style="16" bestFit="1" customWidth="1"/>
    <col min="12" max="12" width="14.36328125" style="16" bestFit="1" customWidth="1"/>
    <col min="13" max="13" width="33.7265625" style="16" bestFit="1" customWidth="1"/>
    <col min="14" max="14" width="39.453125" style="16" bestFit="1" customWidth="1"/>
    <col min="15" max="16384" width="8.7265625" style="16"/>
  </cols>
  <sheetData>
    <row r="1" spans="1:14" x14ac:dyDescent="0.35">
      <c r="A1" s="6" t="s">
        <v>0</v>
      </c>
      <c r="B1" s="6" t="s">
        <v>567</v>
      </c>
      <c r="C1" s="14" t="s">
        <v>2</v>
      </c>
      <c r="D1" s="6" t="s">
        <v>3</v>
      </c>
      <c r="E1" s="6" t="s">
        <v>4</v>
      </c>
      <c r="F1" s="6" t="s">
        <v>5</v>
      </c>
      <c r="G1" s="6" t="s">
        <v>6</v>
      </c>
      <c r="H1" s="6" t="s">
        <v>598</v>
      </c>
      <c r="I1" s="9" t="s">
        <v>7</v>
      </c>
      <c r="J1" s="9" t="s">
        <v>599</v>
      </c>
      <c r="K1" s="8" t="s">
        <v>240</v>
      </c>
      <c r="L1" s="8" t="s">
        <v>241</v>
      </c>
      <c r="M1" s="8" t="s">
        <v>579</v>
      </c>
      <c r="N1" s="8" t="s">
        <v>580</v>
      </c>
    </row>
    <row r="2" spans="1:14" x14ac:dyDescent="0.35">
      <c r="A2" s="13" t="s">
        <v>892</v>
      </c>
      <c r="B2" s="13" t="s">
        <v>568</v>
      </c>
      <c r="C2" s="15" t="s">
        <v>893</v>
      </c>
      <c r="D2" s="13">
        <v>112</v>
      </c>
      <c r="E2" s="13" t="s">
        <v>569</v>
      </c>
      <c r="F2" s="13">
        <v>307</v>
      </c>
      <c r="G2" s="13" t="s">
        <v>118</v>
      </c>
      <c r="H2" s="13" t="s">
        <v>602</v>
      </c>
      <c r="I2" s="18" t="s">
        <v>67</v>
      </c>
      <c r="J2" s="18" t="s">
        <v>894</v>
      </c>
      <c r="K2" s="18" t="s">
        <v>253</v>
      </c>
      <c r="L2" s="18" t="s">
        <v>242</v>
      </c>
      <c r="M2" s="18" t="s">
        <v>618</v>
      </c>
      <c r="N2" s="18" t="s">
        <v>857</v>
      </c>
    </row>
    <row r="3" spans="1:14" x14ac:dyDescent="0.35">
      <c r="A3" s="13" t="s">
        <v>902</v>
      </c>
      <c r="B3" s="13" t="s">
        <v>583</v>
      </c>
      <c r="C3" s="15" t="s">
        <v>903</v>
      </c>
      <c r="D3" s="13">
        <v>15</v>
      </c>
      <c r="E3" s="13" t="s">
        <v>880</v>
      </c>
      <c r="F3" s="13">
        <v>16</v>
      </c>
      <c r="G3" s="13" t="s">
        <v>118</v>
      </c>
      <c r="H3" s="13" t="s">
        <v>602</v>
      </c>
      <c r="I3" s="18" t="s">
        <v>379</v>
      </c>
      <c r="J3" s="18" t="s">
        <v>712</v>
      </c>
      <c r="K3" s="18" t="s">
        <v>242</v>
      </c>
      <c r="L3" s="18" t="s">
        <v>242</v>
      </c>
      <c r="M3" s="18" t="s">
        <v>705</v>
      </c>
      <c r="N3" s="18" t="s">
        <v>586</v>
      </c>
    </row>
    <row r="4" spans="1:14" x14ac:dyDescent="0.35">
      <c r="A4" s="13" t="s">
        <v>468</v>
      </c>
      <c r="B4" s="13" t="s">
        <v>568</v>
      </c>
      <c r="C4" s="15" t="s">
        <v>889</v>
      </c>
      <c r="D4" s="13">
        <v>540</v>
      </c>
      <c r="E4" s="13" t="s">
        <v>570</v>
      </c>
      <c r="F4" s="13">
        <v>200</v>
      </c>
      <c r="G4" s="13" t="s">
        <v>103</v>
      </c>
      <c r="H4" s="13" t="s">
        <v>612</v>
      </c>
      <c r="I4" s="18" t="s">
        <v>890</v>
      </c>
      <c r="J4" s="18" t="s">
        <v>891</v>
      </c>
      <c r="K4" s="18" t="s">
        <v>242</v>
      </c>
      <c r="L4" s="18" t="s">
        <v>242</v>
      </c>
      <c r="M4" s="18" t="s">
        <v>584</v>
      </c>
      <c r="N4" s="18" t="s">
        <v>855</v>
      </c>
    </row>
    <row r="5" spans="1:14" x14ac:dyDescent="0.35">
      <c r="A5" s="13" t="s">
        <v>901</v>
      </c>
      <c r="B5" s="13" t="s">
        <v>583</v>
      </c>
      <c r="C5" s="15" t="s">
        <v>916</v>
      </c>
      <c r="D5" s="13">
        <v>473</v>
      </c>
      <c r="E5" s="13" t="s">
        <v>321</v>
      </c>
      <c r="F5" s="13">
        <v>353</v>
      </c>
      <c r="G5" s="13" t="s">
        <v>25</v>
      </c>
      <c r="H5" s="13" t="s">
        <v>606</v>
      </c>
      <c r="I5" s="18" t="s">
        <v>26</v>
      </c>
      <c r="J5" s="18" t="s">
        <v>607</v>
      </c>
      <c r="K5" s="18" t="s">
        <v>253</v>
      </c>
      <c r="L5" s="18" t="s">
        <v>253</v>
      </c>
      <c r="M5" s="18" t="s">
        <v>588</v>
      </c>
      <c r="N5" s="18" t="s">
        <v>589</v>
      </c>
    </row>
    <row r="6" spans="1:14" x14ac:dyDescent="0.35">
      <c r="A6" s="13" t="s">
        <v>887</v>
      </c>
      <c r="B6" s="13" t="s">
        <v>583</v>
      </c>
      <c r="C6" s="15" t="s">
        <v>914</v>
      </c>
      <c r="D6" s="13">
        <v>100</v>
      </c>
      <c r="E6" s="13" t="s">
        <v>182</v>
      </c>
      <c r="F6" s="13">
        <v>120</v>
      </c>
      <c r="G6" s="13" t="s">
        <v>16</v>
      </c>
      <c r="H6" s="13" t="s">
        <v>877</v>
      </c>
      <c r="I6" s="18" t="s">
        <v>888</v>
      </c>
      <c r="J6" s="18" t="s">
        <v>1281</v>
      </c>
      <c r="K6" s="18" t="s">
        <v>242</v>
      </c>
      <c r="L6" s="18" t="s">
        <v>242</v>
      </c>
      <c r="M6" s="18" t="s">
        <v>588</v>
      </c>
      <c r="N6" s="18" t="s">
        <v>852</v>
      </c>
    </row>
    <row r="7" spans="1:14" x14ac:dyDescent="0.35">
      <c r="A7" s="13" t="s">
        <v>908</v>
      </c>
      <c r="B7" s="13" t="s">
        <v>568</v>
      </c>
      <c r="C7" s="15" t="s">
        <v>909</v>
      </c>
      <c r="D7" s="13">
        <v>542</v>
      </c>
      <c r="E7" s="13" t="s">
        <v>910</v>
      </c>
      <c r="F7" s="13">
        <v>542</v>
      </c>
      <c r="G7" s="13" t="s">
        <v>118</v>
      </c>
      <c r="H7" s="13" t="s">
        <v>602</v>
      </c>
      <c r="I7" s="18" t="s">
        <v>247</v>
      </c>
      <c r="J7" s="18" t="s">
        <v>601</v>
      </c>
      <c r="K7" s="18" t="s">
        <v>242</v>
      </c>
      <c r="L7" s="18" t="s">
        <v>253</v>
      </c>
      <c r="M7" s="18" t="s">
        <v>584</v>
      </c>
      <c r="N7" s="18" t="s">
        <v>585</v>
      </c>
    </row>
    <row r="8" spans="1:14" x14ac:dyDescent="0.35">
      <c r="A8" s="13" t="s">
        <v>906</v>
      </c>
      <c r="B8" s="13" t="s">
        <v>583</v>
      </c>
      <c r="C8" s="15" t="s">
        <v>918</v>
      </c>
      <c r="D8" s="13">
        <v>541</v>
      </c>
      <c r="E8" s="13" t="s">
        <v>907</v>
      </c>
      <c r="F8" s="13">
        <v>541</v>
      </c>
      <c r="G8" s="13" t="s">
        <v>25</v>
      </c>
      <c r="H8" s="13" t="s">
        <v>606</v>
      </c>
      <c r="I8" s="18" t="s">
        <v>26</v>
      </c>
      <c r="J8" s="18" t="s">
        <v>607</v>
      </c>
      <c r="K8" s="18" t="s">
        <v>242</v>
      </c>
      <c r="L8" s="18" t="s">
        <v>242</v>
      </c>
      <c r="M8" s="18" t="s">
        <v>584</v>
      </c>
      <c r="N8" s="18" t="s">
        <v>591</v>
      </c>
    </row>
    <row r="9" spans="1:14" x14ac:dyDescent="0.35">
      <c r="A9" s="13" t="s">
        <v>912</v>
      </c>
      <c r="B9" s="13" t="s">
        <v>583</v>
      </c>
      <c r="C9" s="15" t="s">
        <v>920</v>
      </c>
      <c r="D9" s="13">
        <v>89</v>
      </c>
      <c r="E9" s="13" t="s">
        <v>691</v>
      </c>
      <c r="F9" s="13">
        <v>564</v>
      </c>
      <c r="G9" s="13" t="s">
        <v>16</v>
      </c>
      <c r="H9" s="13" t="s">
        <v>877</v>
      </c>
      <c r="I9" s="18" t="s">
        <v>574</v>
      </c>
      <c r="J9" s="18" t="s">
        <v>608</v>
      </c>
      <c r="K9" s="18" t="s">
        <v>242</v>
      </c>
      <c r="L9" s="18" t="s">
        <v>242</v>
      </c>
      <c r="M9" s="18" t="s">
        <v>582</v>
      </c>
      <c r="N9" s="18" t="s">
        <v>591</v>
      </c>
    </row>
    <row r="10" spans="1:14" x14ac:dyDescent="0.35">
      <c r="A10" s="13" t="s">
        <v>308</v>
      </c>
      <c r="B10" s="13" t="s">
        <v>568</v>
      </c>
      <c r="C10" s="15" t="s">
        <v>886</v>
      </c>
      <c r="D10" s="13">
        <v>274</v>
      </c>
      <c r="E10" s="13" t="s">
        <v>715</v>
      </c>
      <c r="F10" s="13">
        <v>269</v>
      </c>
      <c r="G10" s="13" t="s">
        <v>311</v>
      </c>
      <c r="H10" s="13" t="s">
        <v>308</v>
      </c>
      <c r="I10" s="18" t="s">
        <v>312</v>
      </c>
      <c r="J10" s="18" t="s">
        <v>656</v>
      </c>
      <c r="K10" s="18" t="s">
        <v>242</v>
      </c>
      <c r="L10" s="18" t="s">
        <v>253</v>
      </c>
      <c r="M10" s="18" t="s">
        <v>627</v>
      </c>
      <c r="N10" s="18" t="s">
        <v>591</v>
      </c>
    </row>
    <row r="11" spans="1:14" x14ac:dyDescent="0.35">
      <c r="A11" s="13" t="s">
        <v>8</v>
      </c>
      <c r="B11" s="13" t="s">
        <v>568</v>
      </c>
      <c r="C11" s="15" t="s">
        <v>913</v>
      </c>
      <c r="D11" s="13">
        <v>66</v>
      </c>
      <c r="E11" s="13" t="s">
        <v>10</v>
      </c>
      <c r="F11" s="13">
        <v>89</v>
      </c>
      <c r="G11" s="13" t="s">
        <v>118</v>
      </c>
      <c r="H11" s="13" t="s">
        <v>602</v>
      </c>
      <c r="I11" s="18" t="s">
        <v>884</v>
      </c>
      <c r="J11" s="18" t="s">
        <v>885</v>
      </c>
      <c r="K11" s="18" t="s">
        <v>242</v>
      </c>
      <c r="L11" s="18" t="s">
        <v>242</v>
      </c>
      <c r="M11" s="18" t="s">
        <v>582</v>
      </c>
      <c r="N11" s="18" t="s">
        <v>585</v>
      </c>
    </row>
    <row r="12" spans="1:14" x14ac:dyDescent="0.35">
      <c r="A12" s="13" t="s">
        <v>897</v>
      </c>
      <c r="B12" s="13" t="s">
        <v>568</v>
      </c>
      <c r="C12" s="15" t="s">
        <v>915</v>
      </c>
      <c r="D12" s="13">
        <v>91</v>
      </c>
      <c r="E12" s="13" t="s">
        <v>898</v>
      </c>
      <c r="F12" s="13">
        <v>91</v>
      </c>
      <c r="G12" s="13" t="s">
        <v>16</v>
      </c>
      <c r="H12" s="13" t="s">
        <v>877</v>
      </c>
      <c r="I12" s="18" t="s">
        <v>899</v>
      </c>
      <c r="J12" s="18" t="s">
        <v>900</v>
      </c>
      <c r="K12" s="18" t="s">
        <v>242</v>
      </c>
      <c r="L12" s="18" t="s">
        <v>253</v>
      </c>
      <c r="M12" s="18" t="s">
        <v>582</v>
      </c>
      <c r="N12" s="18" t="s">
        <v>586</v>
      </c>
    </row>
    <row r="13" spans="1:14" x14ac:dyDescent="0.35">
      <c r="A13" s="13" t="s">
        <v>904</v>
      </c>
      <c r="B13" s="13" t="s">
        <v>568</v>
      </c>
      <c r="C13" s="15" t="s">
        <v>917</v>
      </c>
      <c r="D13" s="13">
        <v>475</v>
      </c>
      <c r="E13" s="13" t="s">
        <v>905</v>
      </c>
      <c r="F13" s="13">
        <v>532</v>
      </c>
      <c r="G13" s="13" t="s">
        <v>103</v>
      </c>
      <c r="H13" s="13" t="s">
        <v>612</v>
      </c>
      <c r="I13" s="18" t="s">
        <v>890</v>
      </c>
      <c r="J13" s="18" t="s">
        <v>891</v>
      </c>
      <c r="K13" s="18" t="s">
        <v>253</v>
      </c>
      <c r="L13" s="18" t="s">
        <v>260</v>
      </c>
      <c r="M13" s="18" t="s">
        <v>581</v>
      </c>
      <c r="N13" s="18" t="s">
        <v>585</v>
      </c>
    </row>
    <row r="14" spans="1:14" x14ac:dyDescent="0.35">
      <c r="A14" s="13" t="s">
        <v>895</v>
      </c>
      <c r="B14" s="13" t="s">
        <v>583</v>
      </c>
      <c r="C14" s="15" t="s">
        <v>896</v>
      </c>
      <c r="D14" s="13">
        <v>153</v>
      </c>
      <c r="E14" s="13" t="s">
        <v>865</v>
      </c>
      <c r="F14" s="13">
        <v>362</v>
      </c>
      <c r="G14" s="13" t="s">
        <v>25</v>
      </c>
      <c r="H14" s="13" t="s">
        <v>606</v>
      </c>
      <c r="I14" s="18" t="s">
        <v>276</v>
      </c>
      <c r="J14" s="18" t="s">
        <v>883</v>
      </c>
      <c r="K14" s="18" t="s">
        <v>242</v>
      </c>
      <c r="L14" s="18" t="s">
        <v>242</v>
      </c>
      <c r="M14" s="18" t="s">
        <v>627</v>
      </c>
      <c r="N14" s="18" t="s">
        <v>597</v>
      </c>
    </row>
    <row r="15" spans="1:14" x14ac:dyDescent="0.35">
      <c r="A15" s="13" t="s">
        <v>911</v>
      </c>
      <c r="B15" s="13" t="s">
        <v>568</v>
      </c>
      <c r="C15" s="15" t="s">
        <v>919</v>
      </c>
      <c r="D15" s="13">
        <v>544</v>
      </c>
      <c r="E15" s="13" t="s">
        <v>566</v>
      </c>
      <c r="F15" s="13">
        <v>544</v>
      </c>
      <c r="G15" s="13" t="s">
        <v>103</v>
      </c>
      <c r="H15" s="13" t="s">
        <v>612</v>
      </c>
      <c r="I15" s="18" t="s">
        <v>870</v>
      </c>
      <c r="J15" s="18" t="s">
        <v>871</v>
      </c>
      <c r="K15" s="18" t="s">
        <v>253</v>
      </c>
      <c r="L15" s="18" t="s">
        <v>253</v>
      </c>
      <c r="M15" s="18" t="s">
        <v>627</v>
      </c>
      <c r="N15" s="18" t="s">
        <v>591</v>
      </c>
    </row>
    <row r="16" spans="1:14" x14ac:dyDescent="0.35">
      <c r="A16" s="13"/>
      <c r="B16" s="13"/>
      <c r="C16" s="15"/>
      <c r="D16" s="13"/>
      <c r="E16" s="13"/>
      <c r="F16" s="13"/>
      <c r="G16" s="13"/>
      <c r="H16" s="13"/>
      <c r="I16" s="18"/>
      <c r="J16" s="18"/>
      <c r="K16" s="18"/>
      <c r="L16" s="18"/>
      <c r="M16" s="18"/>
      <c r="N16" s="18"/>
    </row>
    <row r="17" spans="1:14" x14ac:dyDescent="0.35">
      <c r="A17" s="18"/>
      <c r="B17" s="18"/>
      <c r="C17" s="19"/>
      <c r="D17" s="18"/>
      <c r="E17" s="18"/>
      <c r="F17" s="18"/>
      <c r="G17" s="18"/>
      <c r="H17" s="18"/>
      <c r="I17" s="18"/>
      <c r="J17" s="18"/>
      <c r="K17" s="18"/>
      <c r="L17" s="18"/>
      <c r="M17" s="18"/>
      <c r="N17" s="18"/>
    </row>
  </sheetData>
  <autoFilter ref="A1:N15" xr:uid="{0BEECBFF-232E-4A1E-B487-0386DB950C0E}">
    <sortState xmlns:xlrd2="http://schemas.microsoft.com/office/spreadsheetml/2017/richdata2" ref="A2:N15">
      <sortCondition ref="A1:A15"/>
    </sortState>
  </autoFilter>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2E04D0-BBA8-48B9-94BC-E725BCA032A7}">
  <dimension ref="A1:N17"/>
  <sheetViews>
    <sheetView workbookViewId="0">
      <selection activeCell="C17" sqref="C17"/>
    </sheetView>
  </sheetViews>
  <sheetFormatPr defaultRowHeight="15.5" x14ac:dyDescent="0.35"/>
  <cols>
    <col min="1" max="1" width="29.453125" style="16" bestFit="1" customWidth="1"/>
    <col min="2" max="2" width="16.7265625" style="16" bestFit="1" customWidth="1"/>
    <col min="3" max="3" width="128.1796875" style="17" bestFit="1" customWidth="1"/>
    <col min="4" max="4" width="12.54296875" style="16" bestFit="1" customWidth="1"/>
    <col min="5" max="5" width="42.7265625" style="16" bestFit="1" customWidth="1"/>
    <col min="6" max="6" width="10.26953125" style="16" bestFit="1" customWidth="1"/>
    <col min="7" max="7" width="18.08984375" style="16" bestFit="1" customWidth="1"/>
    <col min="8" max="8" width="26.90625" style="16" bestFit="1" customWidth="1"/>
    <col min="9" max="9" width="24.90625" style="16" bestFit="1" customWidth="1"/>
    <col min="10" max="10" width="35.6328125" style="16" bestFit="1" customWidth="1"/>
    <col min="11" max="11" width="11.6328125" style="16" bestFit="1" customWidth="1"/>
    <col min="12" max="12" width="14.36328125" style="16" bestFit="1" customWidth="1"/>
    <col min="13" max="13" width="36.453125" style="16" bestFit="1" customWidth="1"/>
    <col min="14" max="14" width="39.453125" style="16" bestFit="1" customWidth="1"/>
    <col min="15" max="16384" width="8.7265625" style="16"/>
  </cols>
  <sheetData>
    <row r="1" spans="1:14" x14ac:dyDescent="0.35">
      <c r="A1" s="6" t="s">
        <v>0</v>
      </c>
      <c r="B1" s="6" t="s">
        <v>567</v>
      </c>
      <c r="C1" s="14" t="s">
        <v>2</v>
      </c>
      <c r="D1" s="6" t="s">
        <v>3</v>
      </c>
      <c r="E1" s="6" t="s">
        <v>4</v>
      </c>
      <c r="F1" s="6" t="s">
        <v>5</v>
      </c>
      <c r="G1" s="6" t="s">
        <v>6</v>
      </c>
      <c r="H1" s="6" t="s">
        <v>598</v>
      </c>
      <c r="I1" s="9" t="s">
        <v>7</v>
      </c>
      <c r="J1" s="9" t="s">
        <v>599</v>
      </c>
      <c r="K1" s="8" t="s">
        <v>240</v>
      </c>
      <c r="L1" s="8" t="s">
        <v>241</v>
      </c>
      <c r="M1" s="8" t="s">
        <v>579</v>
      </c>
      <c r="N1" s="8" t="s">
        <v>580</v>
      </c>
    </row>
    <row r="2" spans="1:14" x14ac:dyDescent="0.35">
      <c r="A2" s="13" t="s">
        <v>1010</v>
      </c>
      <c r="B2" s="13" t="s">
        <v>963</v>
      </c>
      <c r="C2" s="15" t="s">
        <v>1011</v>
      </c>
      <c r="D2" s="13">
        <v>530</v>
      </c>
      <c r="E2" s="13" t="s">
        <v>1012</v>
      </c>
      <c r="F2" s="13">
        <v>530</v>
      </c>
      <c r="G2" s="13" t="s">
        <v>103</v>
      </c>
      <c r="H2" s="13" t="s">
        <v>612</v>
      </c>
      <c r="I2" s="18" t="s">
        <v>890</v>
      </c>
      <c r="J2" s="18" t="s">
        <v>891</v>
      </c>
      <c r="K2" s="18" t="s">
        <v>253</v>
      </c>
      <c r="L2" s="18" t="s">
        <v>253</v>
      </c>
      <c r="M2" s="18" t="s">
        <v>584</v>
      </c>
      <c r="N2" s="18" t="s">
        <v>586</v>
      </c>
    </row>
    <row r="3" spans="1:14" x14ac:dyDescent="0.35">
      <c r="A3" s="13" t="s">
        <v>157</v>
      </c>
      <c r="B3" s="13" t="s">
        <v>568</v>
      </c>
      <c r="C3" s="15" t="s">
        <v>1013</v>
      </c>
      <c r="D3" s="13">
        <v>115</v>
      </c>
      <c r="E3" s="13" t="s">
        <v>190</v>
      </c>
      <c r="F3" s="13">
        <v>15</v>
      </c>
      <c r="G3" s="13" t="s">
        <v>103</v>
      </c>
      <c r="H3" s="13" t="s">
        <v>612</v>
      </c>
      <c r="I3" s="18" t="s">
        <v>534</v>
      </c>
      <c r="J3" s="18" t="s">
        <v>930</v>
      </c>
      <c r="K3" s="18" t="s">
        <v>253</v>
      </c>
      <c r="L3" s="18" t="s">
        <v>253</v>
      </c>
      <c r="M3" s="18" t="s">
        <v>588</v>
      </c>
      <c r="N3" s="18" t="s">
        <v>585</v>
      </c>
    </row>
    <row r="4" spans="1:14" x14ac:dyDescent="0.35">
      <c r="A4" s="13" t="s">
        <v>372</v>
      </c>
      <c r="B4" s="13" t="s">
        <v>568</v>
      </c>
      <c r="C4" s="15" t="s">
        <v>1000</v>
      </c>
      <c r="D4" s="13">
        <v>134</v>
      </c>
      <c r="E4" s="13" t="s">
        <v>958</v>
      </c>
      <c r="F4" s="13">
        <v>354</v>
      </c>
      <c r="G4" s="13" t="s">
        <v>103</v>
      </c>
      <c r="H4" s="13" t="s">
        <v>612</v>
      </c>
      <c r="I4" s="18" t="s">
        <v>534</v>
      </c>
      <c r="J4" s="18" t="s">
        <v>930</v>
      </c>
      <c r="K4" s="18" t="s">
        <v>242</v>
      </c>
      <c r="L4" s="18" t="s">
        <v>253</v>
      </c>
      <c r="M4" s="18" t="s">
        <v>627</v>
      </c>
      <c r="N4" s="18" t="s">
        <v>591</v>
      </c>
    </row>
    <row r="5" spans="1:14" x14ac:dyDescent="0.35">
      <c r="A5" s="13" t="s">
        <v>236</v>
      </c>
      <c r="B5" s="13" t="s">
        <v>568</v>
      </c>
      <c r="C5" s="15" t="s">
        <v>994</v>
      </c>
      <c r="D5" s="13">
        <v>645</v>
      </c>
      <c r="E5" s="13" t="s">
        <v>874</v>
      </c>
      <c r="F5" s="13">
        <v>400</v>
      </c>
      <c r="G5" s="13" t="s">
        <v>25</v>
      </c>
      <c r="H5" s="13" t="s">
        <v>606</v>
      </c>
      <c r="I5" s="18" t="s">
        <v>26</v>
      </c>
      <c r="J5" s="18" t="s">
        <v>607</v>
      </c>
      <c r="K5" s="18" t="s">
        <v>242</v>
      </c>
      <c r="L5" s="18" t="s">
        <v>253</v>
      </c>
      <c r="M5" s="18" t="s">
        <v>587</v>
      </c>
      <c r="N5" s="18" t="s">
        <v>857</v>
      </c>
    </row>
    <row r="6" spans="1:14" x14ac:dyDescent="0.35">
      <c r="A6" s="13" t="s">
        <v>992</v>
      </c>
      <c r="B6" s="13" t="s">
        <v>963</v>
      </c>
      <c r="C6" s="15" t="s">
        <v>993</v>
      </c>
      <c r="D6" s="13">
        <v>200</v>
      </c>
      <c r="E6" s="13" t="s">
        <v>49</v>
      </c>
      <c r="F6" s="13">
        <v>200</v>
      </c>
      <c r="G6" s="13" t="s">
        <v>103</v>
      </c>
      <c r="H6" s="13" t="s">
        <v>612</v>
      </c>
      <c r="I6" s="18" t="s">
        <v>890</v>
      </c>
      <c r="J6" s="18" t="s">
        <v>1281</v>
      </c>
      <c r="K6" s="18" t="s">
        <v>242</v>
      </c>
      <c r="L6" s="18" t="s">
        <v>242</v>
      </c>
      <c r="M6" s="18" t="s">
        <v>584</v>
      </c>
      <c r="N6" s="18" t="s">
        <v>586</v>
      </c>
    </row>
    <row r="7" spans="1:14" x14ac:dyDescent="0.35">
      <c r="A7" s="13" t="s">
        <v>978</v>
      </c>
      <c r="B7" s="13" t="s">
        <v>963</v>
      </c>
      <c r="C7" s="15" t="s">
        <v>1001</v>
      </c>
      <c r="D7" s="13">
        <v>311</v>
      </c>
      <c r="E7" s="13" t="s">
        <v>980</v>
      </c>
      <c r="F7" s="13">
        <v>922</v>
      </c>
      <c r="G7" s="13" t="s">
        <v>103</v>
      </c>
      <c r="H7" s="13" t="s">
        <v>612</v>
      </c>
      <c r="I7" s="18" t="s">
        <v>890</v>
      </c>
      <c r="J7" s="18" t="s">
        <v>891</v>
      </c>
      <c r="K7" s="18" t="s">
        <v>242</v>
      </c>
      <c r="L7" s="18" t="s">
        <v>253</v>
      </c>
      <c r="M7" s="18" t="s">
        <v>584</v>
      </c>
      <c r="N7" s="18" t="s">
        <v>855</v>
      </c>
    </row>
    <row r="8" spans="1:14" x14ac:dyDescent="0.35">
      <c r="A8" s="13" t="s">
        <v>1007</v>
      </c>
      <c r="B8" s="13" t="s">
        <v>963</v>
      </c>
      <c r="C8" s="15" t="s">
        <v>1008</v>
      </c>
      <c r="D8" s="13">
        <v>264</v>
      </c>
      <c r="E8" s="13" t="s">
        <v>1009</v>
      </c>
      <c r="F8" s="13">
        <v>284</v>
      </c>
      <c r="G8" s="13" t="s">
        <v>118</v>
      </c>
      <c r="H8" s="13" t="s">
        <v>602</v>
      </c>
      <c r="I8" s="18" t="s">
        <v>379</v>
      </c>
      <c r="J8" s="18" t="s">
        <v>712</v>
      </c>
      <c r="K8" s="18" t="s">
        <v>242</v>
      </c>
      <c r="L8" s="18" t="s">
        <v>253</v>
      </c>
      <c r="M8" s="18" t="s">
        <v>584</v>
      </c>
      <c r="N8" s="18" t="s">
        <v>591</v>
      </c>
    </row>
    <row r="9" spans="1:14" x14ac:dyDescent="0.35">
      <c r="A9" s="13" t="s">
        <v>1014</v>
      </c>
      <c r="B9" s="13" t="s">
        <v>963</v>
      </c>
      <c r="C9" s="15" t="s">
        <v>1015</v>
      </c>
      <c r="D9" s="13">
        <v>287</v>
      </c>
      <c r="E9" s="13" t="s">
        <v>66</v>
      </c>
      <c r="F9" s="13">
        <v>778</v>
      </c>
      <c r="G9" s="13" t="s">
        <v>118</v>
      </c>
      <c r="H9" s="13" t="s">
        <v>602</v>
      </c>
      <c r="I9" s="18" t="s">
        <v>884</v>
      </c>
      <c r="J9" s="18" t="s">
        <v>885</v>
      </c>
      <c r="K9" s="18" t="s">
        <v>253</v>
      </c>
      <c r="L9" s="18" t="s">
        <v>260</v>
      </c>
      <c r="M9" s="18" t="s">
        <v>584</v>
      </c>
      <c r="N9" s="18" t="s">
        <v>857</v>
      </c>
    </row>
    <row r="10" spans="1:14" x14ac:dyDescent="0.35">
      <c r="A10" s="13" t="s">
        <v>998</v>
      </c>
      <c r="B10" s="13" t="s">
        <v>573</v>
      </c>
      <c r="C10" s="15" t="s">
        <v>999</v>
      </c>
      <c r="D10" s="13">
        <v>319</v>
      </c>
      <c r="E10" s="13" t="s">
        <v>400</v>
      </c>
      <c r="F10" s="13">
        <v>319</v>
      </c>
      <c r="G10" s="13" t="s">
        <v>103</v>
      </c>
      <c r="H10" s="13" t="s">
        <v>612</v>
      </c>
      <c r="I10" s="18" t="s">
        <v>884</v>
      </c>
      <c r="J10" s="18" t="s">
        <v>885</v>
      </c>
      <c r="K10" s="18" t="s">
        <v>253</v>
      </c>
      <c r="L10" s="18" t="s">
        <v>253</v>
      </c>
      <c r="M10" s="18" t="s">
        <v>581</v>
      </c>
      <c r="N10" s="18" t="s">
        <v>855</v>
      </c>
    </row>
    <row r="11" spans="1:14" x14ac:dyDescent="0.35">
      <c r="A11" s="13" t="s">
        <v>956</v>
      </c>
      <c r="B11" s="13" t="s">
        <v>568</v>
      </c>
      <c r="C11" s="15" t="s">
        <v>991</v>
      </c>
      <c r="D11" s="13">
        <v>134</v>
      </c>
      <c r="E11" s="13" t="s">
        <v>958</v>
      </c>
      <c r="F11" s="13">
        <v>943</v>
      </c>
      <c r="G11" s="13" t="s">
        <v>118</v>
      </c>
      <c r="H11" s="13" t="s">
        <v>602</v>
      </c>
      <c r="I11" s="18" t="s">
        <v>884</v>
      </c>
      <c r="J11" s="18" t="s">
        <v>885</v>
      </c>
      <c r="K11" s="18" t="s">
        <v>242</v>
      </c>
      <c r="L11" s="18" t="s">
        <v>242</v>
      </c>
      <c r="M11" s="18" t="s">
        <v>582</v>
      </c>
      <c r="N11" s="18" t="s">
        <v>585</v>
      </c>
    </row>
    <row r="12" spans="1:14" x14ac:dyDescent="0.35">
      <c r="A12" s="13" t="s">
        <v>1005</v>
      </c>
      <c r="B12" s="13" t="s">
        <v>963</v>
      </c>
      <c r="C12" s="15" t="s">
        <v>1006</v>
      </c>
      <c r="D12" s="13">
        <v>494</v>
      </c>
      <c r="E12" s="13" t="s">
        <v>988</v>
      </c>
      <c r="F12" s="13">
        <v>937</v>
      </c>
      <c r="G12" s="13" t="s">
        <v>16</v>
      </c>
      <c r="H12" s="13" t="s">
        <v>877</v>
      </c>
      <c r="I12" s="18" t="s">
        <v>312</v>
      </c>
      <c r="J12" s="18" t="s">
        <v>656</v>
      </c>
      <c r="K12" s="18" t="s">
        <v>242</v>
      </c>
      <c r="L12" s="18" t="s">
        <v>253</v>
      </c>
      <c r="M12" s="18" t="s">
        <v>581</v>
      </c>
      <c r="N12" s="18" t="s">
        <v>586</v>
      </c>
    </row>
    <row r="13" spans="1:14" x14ac:dyDescent="0.35">
      <c r="A13" s="13" t="s">
        <v>308</v>
      </c>
      <c r="B13" s="13" t="s">
        <v>568</v>
      </c>
      <c r="C13" s="15" t="s">
        <v>997</v>
      </c>
      <c r="D13" s="13">
        <v>274</v>
      </c>
      <c r="E13" s="13" t="s">
        <v>715</v>
      </c>
      <c r="F13" s="13">
        <v>269</v>
      </c>
      <c r="G13" s="13" t="s">
        <v>311</v>
      </c>
      <c r="H13" s="13" t="s">
        <v>308</v>
      </c>
      <c r="I13" s="18" t="s">
        <v>312</v>
      </c>
      <c r="J13" s="18" t="s">
        <v>656</v>
      </c>
      <c r="K13" s="18" t="s">
        <v>253</v>
      </c>
      <c r="L13" s="18" t="s">
        <v>253</v>
      </c>
      <c r="M13" s="18" t="s">
        <v>581</v>
      </c>
      <c r="N13" s="18" t="s">
        <v>591</v>
      </c>
    </row>
    <row r="14" spans="1:14" x14ac:dyDescent="0.35">
      <c r="A14" s="13" t="s">
        <v>995</v>
      </c>
      <c r="B14" s="13" t="s">
        <v>963</v>
      </c>
      <c r="C14" s="15" t="s">
        <v>996</v>
      </c>
      <c r="D14" s="13">
        <v>346</v>
      </c>
      <c r="E14" s="13" t="s">
        <v>74</v>
      </c>
      <c r="F14" s="13">
        <v>306</v>
      </c>
      <c r="G14" s="13" t="s">
        <v>118</v>
      </c>
      <c r="H14" s="13" t="s">
        <v>602</v>
      </c>
      <c r="I14" s="18" t="s">
        <v>379</v>
      </c>
      <c r="J14" s="18" t="s">
        <v>712</v>
      </c>
      <c r="K14" s="18" t="s">
        <v>242</v>
      </c>
      <c r="L14" s="18" t="s">
        <v>242</v>
      </c>
      <c r="M14" s="18" t="s">
        <v>584</v>
      </c>
      <c r="N14" s="18" t="s">
        <v>852</v>
      </c>
    </row>
    <row r="15" spans="1:14" x14ac:dyDescent="0.35">
      <c r="A15" s="13" t="s">
        <v>1002</v>
      </c>
      <c r="B15" s="13" t="s">
        <v>963</v>
      </c>
      <c r="C15" s="15" t="s">
        <v>1003</v>
      </c>
      <c r="D15" s="13">
        <v>346</v>
      </c>
      <c r="E15" s="13" t="s">
        <v>74</v>
      </c>
      <c r="F15" s="13">
        <v>798</v>
      </c>
      <c r="G15" s="13" t="s">
        <v>118</v>
      </c>
      <c r="H15" s="13" t="s">
        <v>602</v>
      </c>
      <c r="I15" s="18" t="s">
        <v>971</v>
      </c>
      <c r="J15" s="18" t="s">
        <v>972</v>
      </c>
      <c r="K15" s="18" t="s">
        <v>253</v>
      </c>
      <c r="L15" s="18" t="s">
        <v>253</v>
      </c>
      <c r="M15" s="18" t="s">
        <v>584</v>
      </c>
      <c r="N15" s="18" t="s">
        <v>852</v>
      </c>
    </row>
    <row r="16" spans="1:14" x14ac:dyDescent="0.35">
      <c r="A16" s="13" t="s">
        <v>982</v>
      </c>
      <c r="B16" s="13" t="s">
        <v>963</v>
      </c>
      <c r="C16" s="15" t="s">
        <v>1004</v>
      </c>
      <c r="D16" s="13">
        <v>209</v>
      </c>
      <c r="E16" s="13" t="s">
        <v>349</v>
      </c>
      <c r="F16" s="13">
        <v>200</v>
      </c>
      <c r="G16" s="13" t="s">
        <v>118</v>
      </c>
      <c r="H16" s="13" t="s">
        <v>602</v>
      </c>
      <c r="I16" s="18" t="s">
        <v>379</v>
      </c>
      <c r="J16" s="18" t="s">
        <v>712</v>
      </c>
      <c r="K16" s="18" t="s">
        <v>260</v>
      </c>
      <c r="L16" s="18" t="s">
        <v>260</v>
      </c>
      <c r="M16" s="18" t="s">
        <v>584</v>
      </c>
      <c r="N16" s="18" t="s">
        <v>852</v>
      </c>
    </row>
    <row r="17" spans="1:14" x14ac:dyDescent="0.35">
      <c r="A17" s="18"/>
      <c r="B17" s="18"/>
      <c r="C17" s="19"/>
      <c r="D17" s="18"/>
      <c r="E17" s="18"/>
      <c r="F17" s="18"/>
      <c r="G17" s="18"/>
      <c r="H17" s="18"/>
      <c r="I17" s="18"/>
      <c r="J17" s="18"/>
      <c r="K17" s="18"/>
      <c r="L17" s="18"/>
      <c r="M17" s="18"/>
      <c r="N17" s="18"/>
    </row>
  </sheetData>
  <autoFilter ref="A1:N32" xr:uid="{A62E04D0-BBA8-48B9-94BC-E725BCA032A7}">
    <sortState xmlns:xlrd2="http://schemas.microsoft.com/office/spreadsheetml/2017/richdata2" ref="A2:N32">
      <sortCondition ref="A1:A32"/>
    </sortState>
  </autoFilter>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057ED9-6383-422F-88A6-42618503FC65}">
  <dimension ref="A1:N17"/>
  <sheetViews>
    <sheetView workbookViewId="0">
      <selection activeCell="C17" sqref="C17"/>
    </sheetView>
  </sheetViews>
  <sheetFormatPr defaultRowHeight="15.5" x14ac:dyDescent="0.35"/>
  <cols>
    <col min="1" max="1" width="25" style="16" bestFit="1" customWidth="1"/>
    <col min="2" max="2" width="16.7265625" style="16" bestFit="1" customWidth="1"/>
    <col min="3" max="3" width="122.90625" style="17" bestFit="1" customWidth="1"/>
    <col min="4" max="4" width="12.54296875" style="16" bestFit="1" customWidth="1"/>
    <col min="5" max="5" width="48.26953125" style="16" bestFit="1" customWidth="1"/>
    <col min="6" max="6" width="10.26953125" style="16" bestFit="1" customWidth="1"/>
    <col min="7" max="7" width="18.08984375" style="16" bestFit="1" customWidth="1"/>
    <col min="8" max="8" width="26.90625" style="16" bestFit="1" customWidth="1"/>
    <col min="9" max="9" width="24.90625" style="16" bestFit="1" customWidth="1"/>
    <col min="10" max="10" width="36" style="16" bestFit="1" customWidth="1"/>
    <col min="11" max="11" width="11.6328125" style="16" bestFit="1" customWidth="1"/>
    <col min="12" max="12" width="14.36328125" style="16" bestFit="1" customWidth="1"/>
    <col min="13" max="13" width="36.453125" style="16" bestFit="1" customWidth="1"/>
    <col min="14" max="14" width="39.453125" style="16" bestFit="1" customWidth="1"/>
    <col min="15" max="16384" width="8.7265625" style="16"/>
  </cols>
  <sheetData>
    <row r="1" spans="1:14" x14ac:dyDescent="0.35">
      <c r="A1" s="6" t="s">
        <v>0</v>
      </c>
      <c r="B1" s="6" t="s">
        <v>567</v>
      </c>
      <c r="C1" s="14" t="s">
        <v>2</v>
      </c>
      <c r="D1" s="6" t="s">
        <v>3</v>
      </c>
      <c r="E1" s="6" t="s">
        <v>4</v>
      </c>
      <c r="F1" s="6" t="s">
        <v>5</v>
      </c>
      <c r="G1" s="6" t="s">
        <v>6</v>
      </c>
      <c r="H1" s="6" t="s">
        <v>598</v>
      </c>
      <c r="I1" s="9" t="s">
        <v>7</v>
      </c>
      <c r="J1" s="9" t="s">
        <v>599</v>
      </c>
      <c r="K1" s="8" t="s">
        <v>240</v>
      </c>
      <c r="L1" s="8" t="s">
        <v>241</v>
      </c>
      <c r="M1" s="8" t="s">
        <v>579</v>
      </c>
      <c r="N1" s="8" t="s">
        <v>580</v>
      </c>
    </row>
    <row r="2" spans="1:14" x14ac:dyDescent="0.35">
      <c r="A2" s="13" t="s">
        <v>1062</v>
      </c>
      <c r="B2" s="13" t="s">
        <v>963</v>
      </c>
      <c r="C2" s="15" t="s">
        <v>1063</v>
      </c>
      <c r="D2" s="13">
        <v>530</v>
      </c>
      <c r="E2" s="13" t="s">
        <v>1012</v>
      </c>
      <c r="F2" s="13">
        <v>530</v>
      </c>
      <c r="G2" s="13" t="s">
        <v>103</v>
      </c>
      <c r="H2" s="13" t="s">
        <v>612</v>
      </c>
      <c r="I2" s="18" t="s">
        <v>890</v>
      </c>
      <c r="J2" s="18" t="s">
        <v>891</v>
      </c>
      <c r="K2" s="18" t="s">
        <v>242</v>
      </c>
      <c r="L2" s="18" t="s">
        <v>253</v>
      </c>
      <c r="M2" s="18" t="s">
        <v>584</v>
      </c>
      <c r="N2" s="18" t="s">
        <v>852</v>
      </c>
    </row>
    <row r="3" spans="1:14" x14ac:dyDescent="0.35">
      <c r="A3" s="13" t="s">
        <v>1050</v>
      </c>
      <c r="B3" s="13" t="s">
        <v>568</v>
      </c>
      <c r="C3" s="15" t="s">
        <v>1051</v>
      </c>
      <c r="D3" s="13">
        <v>78</v>
      </c>
      <c r="E3" s="13" t="s">
        <v>33</v>
      </c>
      <c r="F3" s="13">
        <v>77</v>
      </c>
      <c r="G3" s="13" t="s">
        <v>16</v>
      </c>
      <c r="H3" s="13" t="s">
        <v>877</v>
      </c>
      <c r="I3" s="18" t="s">
        <v>574</v>
      </c>
      <c r="J3" s="18" t="s">
        <v>608</v>
      </c>
      <c r="K3" s="18" t="s">
        <v>242</v>
      </c>
      <c r="L3" s="18" t="s">
        <v>253</v>
      </c>
      <c r="M3" s="18" t="s">
        <v>627</v>
      </c>
      <c r="N3" s="18" t="s">
        <v>585</v>
      </c>
    </row>
    <row r="4" spans="1:14" x14ac:dyDescent="0.35">
      <c r="A4" s="13" t="s">
        <v>372</v>
      </c>
      <c r="B4" s="13" t="s">
        <v>568</v>
      </c>
      <c r="C4" s="15" t="s">
        <v>1064</v>
      </c>
      <c r="D4" s="13">
        <v>486</v>
      </c>
      <c r="E4" s="13" t="s">
        <v>73</v>
      </c>
      <c r="F4" s="13">
        <v>485</v>
      </c>
      <c r="G4" s="13" t="s">
        <v>103</v>
      </c>
      <c r="H4" s="13" t="s">
        <v>612</v>
      </c>
      <c r="I4" s="18" t="s">
        <v>534</v>
      </c>
      <c r="J4" s="18" t="s">
        <v>930</v>
      </c>
      <c r="K4" s="18" t="s">
        <v>253</v>
      </c>
      <c r="L4" s="18" t="s">
        <v>253</v>
      </c>
      <c r="M4" s="18" t="s">
        <v>588</v>
      </c>
      <c r="N4" s="18" t="s">
        <v>591</v>
      </c>
    </row>
    <row r="5" spans="1:14" x14ac:dyDescent="0.35">
      <c r="A5" s="13" t="s">
        <v>1043</v>
      </c>
      <c r="B5" s="13" t="s">
        <v>963</v>
      </c>
      <c r="C5" s="15" t="s">
        <v>1044</v>
      </c>
      <c r="D5" s="13">
        <v>346</v>
      </c>
      <c r="E5" s="13" t="s">
        <v>74</v>
      </c>
      <c r="F5" s="13">
        <v>798</v>
      </c>
      <c r="G5" s="13" t="s">
        <v>118</v>
      </c>
      <c r="H5" s="13" t="s">
        <v>602</v>
      </c>
      <c r="I5" s="18" t="s">
        <v>971</v>
      </c>
      <c r="J5" s="18" t="s">
        <v>972</v>
      </c>
      <c r="K5" s="18" t="s">
        <v>242</v>
      </c>
      <c r="L5" s="18" t="s">
        <v>253</v>
      </c>
      <c r="M5" s="18" t="s">
        <v>584</v>
      </c>
      <c r="N5" s="18" t="s">
        <v>852</v>
      </c>
    </row>
    <row r="6" spans="1:14" x14ac:dyDescent="0.35">
      <c r="A6" s="13" t="s">
        <v>236</v>
      </c>
      <c r="B6" s="13" t="s">
        <v>568</v>
      </c>
      <c r="C6" s="15" t="s">
        <v>1039</v>
      </c>
      <c r="D6" s="13">
        <v>645</v>
      </c>
      <c r="E6" s="13" t="s">
        <v>874</v>
      </c>
      <c r="F6" s="13">
        <v>400</v>
      </c>
      <c r="G6" s="13" t="s">
        <v>25</v>
      </c>
      <c r="H6" s="13" t="s">
        <v>606</v>
      </c>
      <c r="I6" s="18" t="s">
        <v>26</v>
      </c>
      <c r="J6" s="18" t="s">
        <v>1281</v>
      </c>
      <c r="K6" s="18" t="s">
        <v>253</v>
      </c>
      <c r="L6" s="18" t="s">
        <v>253</v>
      </c>
      <c r="M6" s="18" t="s">
        <v>587</v>
      </c>
      <c r="N6" s="18" t="s">
        <v>857</v>
      </c>
    </row>
    <row r="7" spans="1:14" x14ac:dyDescent="0.35">
      <c r="A7" s="13" t="s">
        <v>1052</v>
      </c>
      <c r="B7" s="13" t="s">
        <v>963</v>
      </c>
      <c r="C7" s="15" t="s">
        <v>1053</v>
      </c>
      <c r="D7" s="13">
        <v>770</v>
      </c>
      <c r="E7" s="13" t="s">
        <v>1054</v>
      </c>
      <c r="F7" s="13">
        <v>400</v>
      </c>
      <c r="G7" s="13" t="s">
        <v>25</v>
      </c>
      <c r="H7" s="13" t="s">
        <v>606</v>
      </c>
      <c r="I7" s="18" t="s">
        <v>26</v>
      </c>
      <c r="J7" s="18" t="s">
        <v>607</v>
      </c>
      <c r="K7" s="18" t="s">
        <v>253</v>
      </c>
      <c r="L7" s="18" t="s">
        <v>260</v>
      </c>
      <c r="M7" s="18" t="s">
        <v>588</v>
      </c>
      <c r="N7" s="18" t="s">
        <v>857</v>
      </c>
    </row>
    <row r="8" spans="1:14" x14ac:dyDescent="0.35">
      <c r="A8" s="13" t="s">
        <v>992</v>
      </c>
      <c r="B8" s="13" t="s">
        <v>963</v>
      </c>
      <c r="C8" s="15" t="s">
        <v>1038</v>
      </c>
      <c r="D8" s="13">
        <v>200</v>
      </c>
      <c r="E8" s="13" t="s">
        <v>49</v>
      </c>
      <c r="F8" s="13">
        <v>200</v>
      </c>
      <c r="G8" s="13" t="s">
        <v>103</v>
      </c>
      <c r="H8" s="13" t="s">
        <v>612</v>
      </c>
      <c r="I8" s="18" t="s">
        <v>890</v>
      </c>
      <c r="J8" s="18" t="s">
        <v>891</v>
      </c>
      <c r="K8" s="18" t="s">
        <v>242</v>
      </c>
      <c r="L8" s="18" t="s">
        <v>242</v>
      </c>
      <c r="M8" s="18" t="s">
        <v>584</v>
      </c>
      <c r="N8" s="18" t="s">
        <v>586</v>
      </c>
    </row>
    <row r="9" spans="1:14" x14ac:dyDescent="0.35">
      <c r="A9" s="13" t="s">
        <v>1055</v>
      </c>
      <c r="B9" s="13" t="s">
        <v>568</v>
      </c>
      <c r="C9" s="15" t="s">
        <v>1056</v>
      </c>
      <c r="D9" s="13">
        <v>15</v>
      </c>
      <c r="E9" s="13" t="s">
        <v>880</v>
      </c>
      <c r="F9" s="13">
        <v>359</v>
      </c>
      <c r="G9" s="13" t="s">
        <v>103</v>
      </c>
      <c r="H9" s="13" t="s">
        <v>612</v>
      </c>
      <c r="I9" s="18" t="s">
        <v>534</v>
      </c>
      <c r="J9" s="18" t="s">
        <v>930</v>
      </c>
      <c r="K9" s="18" t="s">
        <v>260</v>
      </c>
      <c r="L9" s="18" t="s">
        <v>260</v>
      </c>
      <c r="M9" s="18" t="s">
        <v>588</v>
      </c>
      <c r="N9" s="18" t="s">
        <v>591</v>
      </c>
    </row>
    <row r="10" spans="1:14" x14ac:dyDescent="0.35">
      <c r="A10" s="13" t="s">
        <v>1057</v>
      </c>
      <c r="B10" s="13" t="s">
        <v>568</v>
      </c>
      <c r="C10" s="15" t="s">
        <v>1058</v>
      </c>
      <c r="D10" s="13">
        <v>88</v>
      </c>
      <c r="E10" s="13" t="s">
        <v>224</v>
      </c>
      <c r="F10" s="13">
        <v>502</v>
      </c>
      <c r="G10" s="13" t="s">
        <v>16</v>
      </c>
      <c r="H10" s="13" t="s">
        <v>877</v>
      </c>
      <c r="I10" s="18" t="s">
        <v>574</v>
      </c>
      <c r="J10" s="18" t="s">
        <v>608</v>
      </c>
      <c r="K10" s="18" t="s">
        <v>242</v>
      </c>
      <c r="L10" s="18" t="s">
        <v>253</v>
      </c>
      <c r="M10" s="18" t="s">
        <v>582</v>
      </c>
      <c r="N10" s="18" t="s">
        <v>591</v>
      </c>
    </row>
    <row r="11" spans="1:14" x14ac:dyDescent="0.35">
      <c r="A11" s="13" t="s">
        <v>1045</v>
      </c>
      <c r="B11" s="13" t="s">
        <v>573</v>
      </c>
      <c r="C11" s="15" t="s">
        <v>1046</v>
      </c>
      <c r="D11" s="13">
        <v>94</v>
      </c>
      <c r="E11" s="13" t="s">
        <v>57</v>
      </c>
      <c r="F11" s="13">
        <v>300</v>
      </c>
      <c r="G11" s="13" t="s">
        <v>103</v>
      </c>
      <c r="H11" s="13" t="s">
        <v>612</v>
      </c>
      <c r="I11" s="18" t="s">
        <v>884</v>
      </c>
      <c r="J11" s="18" t="s">
        <v>885</v>
      </c>
      <c r="K11" s="18" t="s">
        <v>253</v>
      </c>
      <c r="L11" s="18" t="s">
        <v>242</v>
      </c>
      <c r="M11" s="18" t="s">
        <v>588</v>
      </c>
      <c r="N11" s="18" t="s">
        <v>1047</v>
      </c>
    </row>
    <row r="12" spans="1:14" x14ac:dyDescent="0.35">
      <c r="A12" s="13" t="s">
        <v>956</v>
      </c>
      <c r="B12" s="13" t="s">
        <v>568</v>
      </c>
      <c r="C12" s="15" t="s">
        <v>1037</v>
      </c>
      <c r="D12" s="13">
        <v>134</v>
      </c>
      <c r="E12" s="13" t="s">
        <v>958</v>
      </c>
      <c r="F12" s="13">
        <v>943</v>
      </c>
      <c r="G12" s="13" t="s">
        <v>118</v>
      </c>
      <c r="H12" s="13" t="s">
        <v>602</v>
      </c>
      <c r="I12" s="18" t="s">
        <v>884</v>
      </c>
      <c r="J12" s="18" t="s">
        <v>885</v>
      </c>
      <c r="K12" s="18" t="s">
        <v>253</v>
      </c>
      <c r="L12" s="18" t="s">
        <v>253</v>
      </c>
      <c r="M12" s="18" t="s">
        <v>582</v>
      </c>
      <c r="N12" s="18" t="s">
        <v>585</v>
      </c>
    </row>
    <row r="13" spans="1:14" x14ac:dyDescent="0.35">
      <c r="A13" s="13" t="s">
        <v>1048</v>
      </c>
      <c r="B13" s="13" t="s">
        <v>963</v>
      </c>
      <c r="C13" s="15" t="s">
        <v>1049</v>
      </c>
      <c r="D13" s="13">
        <v>115</v>
      </c>
      <c r="E13" s="13" t="s">
        <v>190</v>
      </c>
      <c r="F13" s="13">
        <v>330</v>
      </c>
      <c r="G13" s="13" t="s">
        <v>118</v>
      </c>
      <c r="H13" s="13" t="s">
        <v>602</v>
      </c>
      <c r="I13" s="18" t="s">
        <v>379</v>
      </c>
      <c r="J13" s="18" t="s">
        <v>712</v>
      </c>
      <c r="K13" s="18" t="s">
        <v>242</v>
      </c>
      <c r="L13" s="18" t="s">
        <v>253</v>
      </c>
      <c r="M13" s="18" t="s">
        <v>584</v>
      </c>
      <c r="N13" s="18" t="s">
        <v>586</v>
      </c>
    </row>
    <row r="14" spans="1:14" x14ac:dyDescent="0.35">
      <c r="A14" s="13" t="s">
        <v>1040</v>
      </c>
      <c r="B14" s="13" t="s">
        <v>963</v>
      </c>
      <c r="C14" s="15" t="s">
        <v>1041</v>
      </c>
      <c r="D14" s="13">
        <v>530</v>
      </c>
      <c r="E14" s="13" t="s">
        <v>1012</v>
      </c>
      <c r="F14" s="13">
        <v>530</v>
      </c>
      <c r="G14" s="13" t="s">
        <v>103</v>
      </c>
      <c r="H14" s="13" t="s">
        <v>612</v>
      </c>
      <c r="I14" s="18" t="s">
        <v>890</v>
      </c>
      <c r="J14" s="18" t="s">
        <v>891</v>
      </c>
      <c r="K14" s="18" t="s">
        <v>242</v>
      </c>
      <c r="L14" s="18" t="s">
        <v>253</v>
      </c>
      <c r="M14" s="18" t="s">
        <v>584</v>
      </c>
      <c r="N14" s="18" t="s">
        <v>586</v>
      </c>
    </row>
    <row r="15" spans="1:14" x14ac:dyDescent="0.35">
      <c r="A15" s="13" t="s">
        <v>995</v>
      </c>
      <c r="B15" s="13" t="s">
        <v>963</v>
      </c>
      <c r="C15" s="15" t="s">
        <v>1036</v>
      </c>
      <c r="D15" s="13">
        <v>346</v>
      </c>
      <c r="E15" s="13" t="s">
        <v>74</v>
      </c>
      <c r="F15" s="13">
        <v>306</v>
      </c>
      <c r="G15" s="13" t="s">
        <v>118</v>
      </c>
      <c r="H15" s="13" t="s">
        <v>602</v>
      </c>
      <c r="I15" s="18" t="s">
        <v>379</v>
      </c>
      <c r="J15" s="18" t="s">
        <v>712</v>
      </c>
      <c r="K15" s="18" t="s">
        <v>242</v>
      </c>
      <c r="L15" s="18" t="s">
        <v>242</v>
      </c>
      <c r="M15" s="18" t="s">
        <v>584</v>
      </c>
      <c r="N15" s="18" t="s">
        <v>852</v>
      </c>
    </row>
    <row r="16" spans="1:14" x14ac:dyDescent="0.35">
      <c r="A16" s="13" t="s">
        <v>1059</v>
      </c>
      <c r="B16" s="13" t="s">
        <v>963</v>
      </c>
      <c r="C16" s="15" t="s">
        <v>1060</v>
      </c>
      <c r="D16" s="13">
        <v>620</v>
      </c>
      <c r="E16" s="13" t="s">
        <v>1061</v>
      </c>
      <c r="F16" s="13">
        <v>620</v>
      </c>
      <c r="G16" s="13" t="s">
        <v>103</v>
      </c>
      <c r="H16" s="13" t="s">
        <v>612</v>
      </c>
      <c r="I16" s="18" t="s">
        <v>534</v>
      </c>
      <c r="J16" s="18" t="s">
        <v>930</v>
      </c>
      <c r="K16" s="18" t="s">
        <v>253</v>
      </c>
      <c r="L16" s="18" t="s">
        <v>260</v>
      </c>
      <c r="M16" s="18" t="s">
        <v>584</v>
      </c>
      <c r="N16" s="18" t="s">
        <v>852</v>
      </c>
    </row>
    <row r="17" spans="1:14" x14ac:dyDescent="0.35">
      <c r="A17" s="18" t="s">
        <v>982</v>
      </c>
      <c r="B17" s="18" t="s">
        <v>963</v>
      </c>
      <c r="C17" s="19" t="s">
        <v>1042</v>
      </c>
      <c r="D17" s="18">
        <v>209</v>
      </c>
      <c r="E17" s="18" t="s">
        <v>349</v>
      </c>
      <c r="F17" s="18">
        <v>200</v>
      </c>
      <c r="G17" s="18" t="s">
        <v>118</v>
      </c>
      <c r="H17" s="18" t="s">
        <v>602</v>
      </c>
      <c r="I17" s="18" t="s">
        <v>379</v>
      </c>
      <c r="J17" s="18" t="s">
        <v>712</v>
      </c>
      <c r="K17" s="18" t="s">
        <v>260</v>
      </c>
      <c r="L17" s="18" t="s">
        <v>260</v>
      </c>
      <c r="M17" s="18" t="s">
        <v>584</v>
      </c>
      <c r="N17" s="18" t="s">
        <v>852</v>
      </c>
    </row>
  </sheetData>
  <autoFilter ref="A1:N34" xr:uid="{5A057ED9-6383-422F-88A6-42618503FC65}">
    <sortState xmlns:xlrd2="http://schemas.microsoft.com/office/spreadsheetml/2017/richdata2" ref="A2:N34">
      <sortCondition ref="A1:A34"/>
    </sortState>
  </autoFilter>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B32BA-6D6F-4C0A-A7F0-D58A282DB37A}">
  <dimension ref="A1:N17"/>
  <sheetViews>
    <sheetView topLeftCell="D1" workbookViewId="0">
      <selection activeCell="C17" sqref="C17"/>
    </sheetView>
  </sheetViews>
  <sheetFormatPr defaultRowHeight="15.5" x14ac:dyDescent="0.35"/>
  <cols>
    <col min="1" max="1" width="25" style="16" bestFit="1" customWidth="1"/>
    <col min="2" max="2" width="16.7265625" style="16" bestFit="1" customWidth="1"/>
    <col min="3" max="3" width="119.90625" style="17" bestFit="1" customWidth="1"/>
    <col min="4" max="4" width="12.54296875" style="16" bestFit="1" customWidth="1"/>
    <col min="5" max="5" width="42.7265625" style="16" bestFit="1" customWidth="1"/>
    <col min="6" max="6" width="10.26953125" style="16" bestFit="1" customWidth="1"/>
    <col min="7" max="7" width="18.08984375" style="16" bestFit="1" customWidth="1"/>
    <col min="8" max="8" width="26.90625" style="16" bestFit="1" customWidth="1"/>
    <col min="9" max="9" width="24.90625" style="16" bestFit="1" customWidth="1"/>
    <col min="10" max="10" width="35.6328125" style="16" bestFit="1" customWidth="1"/>
    <col min="11" max="11" width="11.6328125" style="16" bestFit="1" customWidth="1"/>
    <col min="12" max="12" width="14.36328125" style="16" bestFit="1" customWidth="1"/>
    <col min="13" max="13" width="36.453125" style="16" bestFit="1" customWidth="1"/>
    <col min="14" max="14" width="39.453125" style="16" bestFit="1" customWidth="1"/>
    <col min="15" max="16384" width="8.7265625" style="16"/>
  </cols>
  <sheetData>
    <row r="1" spans="1:14" x14ac:dyDescent="0.35">
      <c r="A1" s="6" t="s">
        <v>0</v>
      </c>
      <c r="B1" s="6" t="s">
        <v>567</v>
      </c>
      <c r="C1" s="14" t="s">
        <v>2</v>
      </c>
      <c r="D1" s="6" t="s">
        <v>3</v>
      </c>
      <c r="E1" s="6" t="s">
        <v>4</v>
      </c>
      <c r="F1" s="6" t="s">
        <v>5</v>
      </c>
      <c r="G1" s="6" t="s">
        <v>6</v>
      </c>
      <c r="H1" s="6" t="s">
        <v>598</v>
      </c>
      <c r="I1" s="9" t="s">
        <v>7</v>
      </c>
      <c r="J1" s="9" t="s">
        <v>599</v>
      </c>
      <c r="K1" s="8" t="s">
        <v>240</v>
      </c>
      <c r="L1" s="8" t="s">
        <v>241</v>
      </c>
      <c r="M1" s="8" t="s">
        <v>579</v>
      </c>
      <c r="N1" s="8" t="s">
        <v>580</v>
      </c>
    </row>
    <row r="2" spans="1:14" x14ac:dyDescent="0.35">
      <c r="A2" s="13" t="s">
        <v>1010</v>
      </c>
      <c r="B2" s="13" t="s">
        <v>963</v>
      </c>
      <c r="C2" s="15" t="s">
        <v>1030</v>
      </c>
      <c r="D2" s="13">
        <v>530</v>
      </c>
      <c r="E2" s="13" t="s">
        <v>1012</v>
      </c>
      <c r="F2" s="13">
        <v>530</v>
      </c>
      <c r="G2" s="13" t="s">
        <v>103</v>
      </c>
      <c r="H2" s="13" t="s">
        <v>612</v>
      </c>
      <c r="I2" s="18" t="s">
        <v>890</v>
      </c>
      <c r="J2" s="18" t="s">
        <v>891</v>
      </c>
      <c r="K2" s="18" t="s">
        <v>253</v>
      </c>
      <c r="L2" s="18" t="s">
        <v>253</v>
      </c>
      <c r="M2" s="18" t="s">
        <v>584</v>
      </c>
      <c r="N2" s="18" t="s">
        <v>586</v>
      </c>
    </row>
    <row r="3" spans="1:14" x14ac:dyDescent="0.35">
      <c r="A3" s="13" t="s">
        <v>1031</v>
      </c>
      <c r="B3" s="13" t="s">
        <v>573</v>
      </c>
      <c r="C3" s="15" t="s">
        <v>1032</v>
      </c>
      <c r="D3" s="13">
        <v>185</v>
      </c>
      <c r="E3" s="13" t="s">
        <v>1033</v>
      </c>
      <c r="F3" s="13">
        <v>306</v>
      </c>
      <c r="G3" s="13" t="s">
        <v>118</v>
      </c>
      <c r="H3" s="13" t="s">
        <v>602</v>
      </c>
      <c r="I3" s="18" t="s">
        <v>379</v>
      </c>
      <c r="J3" s="18" t="s">
        <v>712</v>
      </c>
      <c r="K3" s="18" t="s">
        <v>242</v>
      </c>
      <c r="L3" s="18" t="s">
        <v>253</v>
      </c>
      <c r="M3" s="18" t="s">
        <v>584</v>
      </c>
      <c r="N3" s="18" t="s">
        <v>586</v>
      </c>
    </row>
    <row r="4" spans="1:14" x14ac:dyDescent="0.35">
      <c r="A4" s="13" t="s">
        <v>157</v>
      </c>
      <c r="B4" s="13" t="s">
        <v>568</v>
      </c>
      <c r="C4" s="15" t="s">
        <v>1027</v>
      </c>
      <c r="D4" s="13">
        <v>115</v>
      </c>
      <c r="E4" s="13" t="s">
        <v>190</v>
      </c>
      <c r="F4" s="13">
        <v>15</v>
      </c>
      <c r="G4" s="13" t="s">
        <v>103</v>
      </c>
      <c r="H4" s="13" t="s">
        <v>612</v>
      </c>
      <c r="I4" s="18" t="s">
        <v>534</v>
      </c>
      <c r="J4" s="18" t="s">
        <v>930</v>
      </c>
      <c r="K4" s="18" t="s">
        <v>253</v>
      </c>
      <c r="L4" s="18" t="s">
        <v>253</v>
      </c>
      <c r="M4" s="18" t="s">
        <v>588</v>
      </c>
      <c r="N4" s="18" t="s">
        <v>585</v>
      </c>
    </row>
    <row r="5" spans="1:14" x14ac:dyDescent="0.35">
      <c r="A5" s="13" t="s">
        <v>372</v>
      </c>
      <c r="B5" s="13" t="s">
        <v>568</v>
      </c>
      <c r="C5" s="15" t="s">
        <v>1021</v>
      </c>
      <c r="D5" s="13">
        <v>134</v>
      </c>
      <c r="E5" s="13" t="s">
        <v>958</v>
      </c>
      <c r="F5" s="13">
        <v>354</v>
      </c>
      <c r="G5" s="13" t="s">
        <v>103</v>
      </c>
      <c r="H5" s="13" t="s">
        <v>612</v>
      </c>
      <c r="I5" s="18" t="s">
        <v>534</v>
      </c>
      <c r="J5" s="18" t="s">
        <v>930</v>
      </c>
      <c r="K5" s="18" t="s">
        <v>242</v>
      </c>
      <c r="L5" s="18" t="s">
        <v>253</v>
      </c>
      <c r="M5" s="18" t="s">
        <v>627</v>
      </c>
      <c r="N5" s="18" t="s">
        <v>591</v>
      </c>
    </row>
    <row r="6" spans="1:14" x14ac:dyDescent="0.35">
      <c r="A6" s="13" t="s">
        <v>236</v>
      </c>
      <c r="B6" s="13" t="s">
        <v>568</v>
      </c>
      <c r="C6" s="15" t="s">
        <v>1018</v>
      </c>
      <c r="D6" s="13">
        <v>645</v>
      </c>
      <c r="E6" s="13" t="s">
        <v>874</v>
      </c>
      <c r="F6" s="13">
        <v>400</v>
      </c>
      <c r="G6" s="13" t="s">
        <v>25</v>
      </c>
      <c r="H6" s="13" t="s">
        <v>606</v>
      </c>
      <c r="I6" s="18" t="s">
        <v>26</v>
      </c>
      <c r="J6" s="18" t="s">
        <v>1281</v>
      </c>
      <c r="K6" s="18" t="s">
        <v>242</v>
      </c>
      <c r="L6" s="18" t="s">
        <v>253</v>
      </c>
      <c r="M6" s="18" t="s">
        <v>587</v>
      </c>
      <c r="N6" s="18" t="s">
        <v>857</v>
      </c>
    </row>
    <row r="7" spans="1:14" x14ac:dyDescent="0.35">
      <c r="A7" s="13" t="s">
        <v>992</v>
      </c>
      <c r="B7" s="13" t="s">
        <v>963</v>
      </c>
      <c r="C7" s="15" t="s">
        <v>1017</v>
      </c>
      <c r="D7" s="13">
        <v>200</v>
      </c>
      <c r="E7" s="13" t="s">
        <v>49</v>
      </c>
      <c r="F7" s="13">
        <v>200</v>
      </c>
      <c r="G7" s="13" t="s">
        <v>103</v>
      </c>
      <c r="H7" s="13" t="s">
        <v>612</v>
      </c>
      <c r="I7" s="18" t="s">
        <v>890</v>
      </c>
      <c r="J7" s="18" t="s">
        <v>891</v>
      </c>
      <c r="K7" s="18" t="s">
        <v>242</v>
      </c>
      <c r="L7" s="18" t="s">
        <v>242</v>
      </c>
      <c r="M7" s="18" t="s">
        <v>584</v>
      </c>
      <c r="N7" s="18" t="s">
        <v>586</v>
      </c>
    </row>
    <row r="8" spans="1:14" x14ac:dyDescent="0.35">
      <c r="A8" s="13" t="s">
        <v>1007</v>
      </c>
      <c r="B8" s="13" t="s">
        <v>963</v>
      </c>
      <c r="C8" s="15" t="s">
        <v>1026</v>
      </c>
      <c r="D8" s="13">
        <v>264</v>
      </c>
      <c r="E8" s="13" t="s">
        <v>1009</v>
      </c>
      <c r="F8" s="13">
        <v>284</v>
      </c>
      <c r="G8" s="13" t="s">
        <v>118</v>
      </c>
      <c r="H8" s="13" t="s">
        <v>602</v>
      </c>
      <c r="I8" s="18" t="s">
        <v>379</v>
      </c>
      <c r="J8" s="18" t="s">
        <v>712</v>
      </c>
      <c r="K8" s="18" t="s">
        <v>242</v>
      </c>
      <c r="L8" s="18" t="s">
        <v>253</v>
      </c>
      <c r="M8" s="18" t="s">
        <v>584</v>
      </c>
      <c r="N8" s="18" t="s">
        <v>591</v>
      </c>
    </row>
    <row r="9" spans="1:14" x14ac:dyDescent="0.35">
      <c r="A9" s="13" t="s">
        <v>1034</v>
      </c>
      <c r="B9" s="13" t="s">
        <v>568</v>
      </c>
      <c r="C9" s="15" t="s">
        <v>1035</v>
      </c>
      <c r="D9" s="13">
        <v>532</v>
      </c>
      <c r="E9" s="13" t="s">
        <v>271</v>
      </c>
      <c r="F9" s="13">
        <v>532</v>
      </c>
      <c r="G9" s="13" t="s">
        <v>103</v>
      </c>
      <c r="H9" s="13" t="s">
        <v>612</v>
      </c>
      <c r="I9" s="18" t="s">
        <v>534</v>
      </c>
      <c r="J9" s="18" t="s">
        <v>930</v>
      </c>
      <c r="K9" s="18" t="s">
        <v>253</v>
      </c>
      <c r="L9" s="18" t="s">
        <v>260</v>
      </c>
      <c r="M9" s="18" t="s">
        <v>584</v>
      </c>
      <c r="N9" s="18" t="s">
        <v>857</v>
      </c>
    </row>
    <row r="10" spans="1:14" x14ac:dyDescent="0.35">
      <c r="A10" s="13" t="s">
        <v>1028</v>
      </c>
      <c r="B10" s="13" t="s">
        <v>573</v>
      </c>
      <c r="C10" s="15" t="s">
        <v>1029</v>
      </c>
      <c r="D10" s="13">
        <v>319</v>
      </c>
      <c r="E10" s="13" t="s">
        <v>400</v>
      </c>
      <c r="F10" s="13">
        <v>319</v>
      </c>
      <c r="G10" s="13" t="s">
        <v>103</v>
      </c>
      <c r="H10" s="13" t="s">
        <v>612</v>
      </c>
      <c r="I10" s="18" t="s">
        <v>884</v>
      </c>
      <c r="J10" s="18" t="s">
        <v>885</v>
      </c>
      <c r="K10" s="18" t="s">
        <v>253</v>
      </c>
      <c r="L10" s="18" t="s">
        <v>253</v>
      </c>
      <c r="M10" s="18" t="s">
        <v>581</v>
      </c>
      <c r="N10" s="18" t="s">
        <v>855</v>
      </c>
    </row>
    <row r="11" spans="1:14" x14ac:dyDescent="0.35">
      <c r="A11" s="13" t="s">
        <v>956</v>
      </c>
      <c r="B11" s="13" t="s">
        <v>568</v>
      </c>
      <c r="C11" s="15" t="s">
        <v>1016</v>
      </c>
      <c r="D11" s="13">
        <v>134</v>
      </c>
      <c r="E11" s="13" t="s">
        <v>958</v>
      </c>
      <c r="F11" s="13">
        <v>943</v>
      </c>
      <c r="G11" s="13" t="s">
        <v>118</v>
      </c>
      <c r="H11" s="13" t="s">
        <v>602</v>
      </c>
      <c r="I11" s="18" t="s">
        <v>884</v>
      </c>
      <c r="J11" s="18" t="s">
        <v>885</v>
      </c>
      <c r="K11" s="18" t="s">
        <v>242</v>
      </c>
      <c r="L11" s="18" t="s">
        <v>242</v>
      </c>
      <c r="M11" s="18" t="s">
        <v>582</v>
      </c>
      <c r="N11" s="18" t="s">
        <v>585</v>
      </c>
    </row>
    <row r="12" spans="1:14" x14ac:dyDescent="0.35">
      <c r="A12" s="13" t="s">
        <v>1024</v>
      </c>
      <c r="B12" s="13" t="s">
        <v>963</v>
      </c>
      <c r="C12" s="15" t="s">
        <v>1025</v>
      </c>
      <c r="D12" s="13">
        <v>494</v>
      </c>
      <c r="E12" s="13" t="s">
        <v>988</v>
      </c>
      <c r="F12" s="13">
        <v>937</v>
      </c>
      <c r="G12" s="13" t="s">
        <v>16</v>
      </c>
      <c r="H12" s="13" t="s">
        <v>877</v>
      </c>
      <c r="I12" s="18" t="s">
        <v>312</v>
      </c>
      <c r="J12" s="18" t="s">
        <v>656</v>
      </c>
      <c r="K12" s="18" t="s">
        <v>242</v>
      </c>
      <c r="L12" s="18" t="s">
        <v>253</v>
      </c>
      <c r="M12" s="18" t="s">
        <v>581</v>
      </c>
      <c r="N12" s="18" t="s">
        <v>586</v>
      </c>
    </row>
    <row r="13" spans="1:14" x14ac:dyDescent="0.35">
      <c r="A13" s="13" t="s">
        <v>308</v>
      </c>
      <c r="B13" s="13" t="s">
        <v>568</v>
      </c>
      <c r="C13" s="15" t="s">
        <v>1020</v>
      </c>
      <c r="D13" s="13">
        <v>274</v>
      </c>
      <c r="E13" s="13" t="s">
        <v>715</v>
      </c>
      <c r="F13" s="13">
        <v>269</v>
      </c>
      <c r="G13" s="13" t="s">
        <v>311</v>
      </c>
      <c r="H13" s="13" t="s">
        <v>308</v>
      </c>
      <c r="I13" s="18" t="s">
        <v>312</v>
      </c>
      <c r="J13" s="18" t="s">
        <v>656</v>
      </c>
      <c r="K13" s="18" t="s">
        <v>253</v>
      </c>
      <c r="L13" s="18" t="s">
        <v>253</v>
      </c>
      <c r="M13" s="18" t="s">
        <v>581</v>
      </c>
      <c r="N13" s="18" t="s">
        <v>591</v>
      </c>
    </row>
    <row r="14" spans="1:14" x14ac:dyDescent="0.35">
      <c r="A14" s="13" t="s">
        <v>995</v>
      </c>
      <c r="B14" s="13" t="s">
        <v>963</v>
      </c>
      <c r="C14" s="15" t="s">
        <v>1019</v>
      </c>
      <c r="D14" s="13">
        <v>346</v>
      </c>
      <c r="E14" s="13" t="s">
        <v>74</v>
      </c>
      <c r="F14" s="13">
        <v>306</v>
      </c>
      <c r="G14" s="13" t="s">
        <v>118</v>
      </c>
      <c r="H14" s="13" t="s">
        <v>602</v>
      </c>
      <c r="I14" s="18" t="s">
        <v>379</v>
      </c>
      <c r="J14" s="18" t="s">
        <v>712</v>
      </c>
      <c r="K14" s="18" t="s">
        <v>242</v>
      </c>
      <c r="L14" s="18" t="s">
        <v>242</v>
      </c>
      <c r="M14" s="18" t="s">
        <v>584</v>
      </c>
      <c r="N14" s="18" t="s">
        <v>852</v>
      </c>
    </row>
    <row r="15" spans="1:14" x14ac:dyDescent="0.35">
      <c r="A15" s="13" t="s">
        <v>1002</v>
      </c>
      <c r="B15" s="13" t="s">
        <v>963</v>
      </c>
      <c r="C15" s="15" t="s">
        <v>1022</v>
      </c>
      <c r="D15" s="13">
        <v>346</v>
      </c>
      <c r="E15" s="13" t="s">
        <v>74</v>
      </c>
      <c r="F15" s="13">
        <v>798</v>
      </c>
      <c r="G15" s="13" t="s">
        <v>118</v>
      </c>
      <c r="H15" s="13" t="s">
        <v>602</v>
      </c>
      <c r="I15" s="18" t="s">
        <v>971</v>
      </c>
      <c r="J15" s="18" t="s">
        <v>972</v>
      </c>
      <c r="K15" s="18" t="s">
        <v>253</v>
      </c>
      <c r="L15" s="18" t="s">
        <v>253</v>
      </c>
      <c r="M15" s="18" t="s">
        <v>584</v>
      </c>
      <c r="N15" s="18" t="s">
        <v>852</v>
      </c>
    </row>
    <row r="16" spans="1:14" x14ac:dyDescent="0.35">
      <c r="A16" s="13" t="s">
        <v>982</v>
      </c>
      <c r="B16" s="13" t="s">
        <v>963</v>
      </c>
      <c r="C16" s="15" t="s">
        <v>1023</v>
      </c>
      <c r="D16" s="13">
        <v>209</v>
      </c>
      <c r="E16" s="13" t="s">
        <v>349</v>
      </c>
      <c r="F16" s="13">
        <v>200</v>
      </c>
      <c r="G16" s="13" t="s">
        <v>118</v>
      </c>
      <c r="H16" s="13" t="s">
        <v>602</v>
      </c>
      <c r="I16" s="18" t="s">
        <v>379</v>
      </c>
      <c r="J16" s="18" t="s">
        <v>712</v>
      </c>
      <c r="K16" s="18" t="s">
        <v>260</v>
      </c>
      <c r="L16" s="18" t="s">
        <v>260</v>
      </c>
      <c r="M16" s="18" t="s">
        <v>584</v>
      </c>
      <c r="N16" s="18" t="s">
        <v>852</v>
      </c>
    </row>
    <row r="17" spans="1:14" x14ac:dyDescent="0.35">
      <c r="A17" s="18"/>
      <c r="B17" s="18"/>
      <c r="C17" s="19"/>
      <c r="D17" s="18"/>
      <c r="E17" s="18"/>
      <c r="F17" s="18"/>
      <c r="G17" s="18"/>
      <c r="H17" s="18"/>
      <c r="I17" s="18"/>
      <c r="J17" s="18"/>
      <c r="K17" s="18"/>
      <c r="L17" s="18"/>
      <c r="M17" s="18"/>
      <c r="N17" s="18"/>
    </row>
  </sheetData>
  <autoFilter ref="A1:N32" xr:uid="{025B32BA-6D6F-4C0A-A7F0-D58A282DB37A}">
    <sortState xmlns:xlrd2="http://schemas.microsoft.com/office/spreadsheetml/2017/richdata2" ref="A2:N32">
      <sortCondition ref="A1:A32"/>
    </sortState>
  </autoFilter>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3B37C-77AC-4F2D-AF85-EAFE9F1A85F1}">
  <dimension ref="A1:N17"/>
  <sheetViews>
    <sheetView workbookViewId="0">
      <selection activeCell="C17" sqref="C17"/>
    </sheetView>
  </sheetViews>
  <sheetFormatPr defaultRowHeight="15.5" x14ac:dyDescent="0.35"/>
  <cols>
    <col min="1" max="1" width="36.81640625" style="16" bestFit="1" customWidth="1"/>
    <col min="2" max="2" width="16.7265625" style="16" bestFit="1" customWidth="1"/>
    <col min="3" max="3" width="203.6328125" style="17" bestFit="1" customWidth="1"/>
    <col min="4" max="4" width="12.54296875" style="16" bestFit="1" customWidth="1"/>
    <col min="5" max="5" width="42.7265625" style="16" bestFit="1" customWidth="1"/>
    <col min="6" max="6" width="10.26953125" style="16" bestFit="1" customWidth="1"/>
    <col min="7" max="7" width="18.08984375" style="16" bestFit="1" customWidth="1"/>
    <col min="8" max="8" width="26.90625" style="16" bestFit="1" customWidth="1"/>
    <col min="9" max="9" width="24.90625" style="16" bestFit="1" customWidth="1"/>
    <col min="10" max="10" width="36" style="16" bestFit="1" customWidth="1"/>
    <col min="11" max="11" width="11.6328125" style="16" bestFit="1" customWidth="1"/>
    <col min="12" max="12" width="14.36328125" style="16" bestFit="1" customWidth="1"/>
    <col min="13" max="13" width="36.453125" style="16" bestFit="1" customWidth="1"/>
    <col min="14" max="14" width="39.453125" style="16" bestFit="1" customWidth="1"/>
    <col min="15" max="16384" width="8.7265625" style="16"/>
  </cols>
  <sheetData>
    <row r="1" spans="1:14" x14ac:dyDescent="0.35">
      <c r="A1" s="6" t="s">
        <v>0</v>
      </c>
      <c r="B1" s="6" t="s">
        <v>567</v>
      </c>
      <c r="C1" s="14" t="s">
        <v>2</v>
      </c>
      <c r="D1" s="6" t="s">
        <v>3</v>
      </c>
      <c r="E1" s="6" t="s">
        <v>4</v>
      </c>
      <c r="F1" s="6" t="s">
        <v>5</v>
      </c>
      <c r="G1" s="6" t="s">
        <v>6</v>
      </c>
      <c r="H1" s="6" t="s">
        <v>598</v>
      </c>
      <c r="I1" s="9" t="s">
        <v>7</v>
      </c>
      <c r="J1" s="9" t="s">
        <v>599</v>
      </c>
      <c r="K1" s="8" t="s">
        <v>240</v>
      </c>
      <c r="L1" s="8" t="s">
        <v>241</v>
      </c>
      <c r="M1" s="8" t="s">
        <v>579</v>
      </c>
      <c r="N1" s="8" t="s">
        <v>580</v>
      </c>
    </row>
    <row r="2" spans="1:14" x14ac:dyDescent="0.35">
      <c r="A2" s="13" t="s">
        <v>965</v>
      </c>
      <c r="B2" s="13" t="s">
        <v>568</v>
      </c>
      <c r="C2" s="15" t="s">
        <v>966</v>
      </c>
      <c r="D2" s="13">
        <v>134</v>
      </c>
      <c r="E2" s="13" t="s">
        <v>958</v>
      </c>
      <c r="F2" s="13">
        <v>942</v>
      </c>
      <c r="G2" s="13" t="s">
        <v>103</v>
      </c>
      <c r="H2" s="13" t="s">
        <v>612</v>
      </c>
      <c r="I2" s="18" t="s">
        <v>534</v>
      </c>
      <c r="J2" s="18" t="s">
        <v>930</v>
      </c>
      <c r="K2" s="18" t="s">
        <v>242</v>
      </c>
      <c r="L2" s="18" t="s">
        <v>253</v>
      </c>
      <c r="M2" s="18" t="s">
        <v>627</v>
      </c>
      <c r="N2" s="18" t="s">
        <v>591</v>
      </c>
    </row>
    <row r="3" spans="1:14" x14ac:dyDescent="0.35">
      <c r="A3" s="13" t="s">
        <v>968</v>
      </c>
      <c r="B3" s="13" t="s">
        <v>568</v>
      </c>
      <c r="C3" s="15" t="s">
        <v>969</v>
      </c>
      <c r="D3" s="13">
        <v>310</v>
      </c>
      <c r="E3" s="13" t="s">
        <v>970</v>
      </c>
      <c r="F3" s="13">
        <v>200</v>
      </c>
      <c r="G3" s="13" t="s">
        <v>118</v>
      </c>
      <c r="H3" s="13" t="s">
        <v>602</v>
      </c>
      <c r="I3" s="18" t="s">
        <v>971</v>
      </c>
      <c r="J3" s="18" t="s">
        <v>972</v>
      </c>
      <c r="K3" s="18" t="s">
        <v>253</v>
      </c>
      <c r="L3" s="18" t="s">
        <v>260</v>
      </c>
      <c r="M3" s="18" t="s">
        <v>588</v>
      </c>
      <c r="N3" s="18" t="s">
        <v>585</v>
      </c>
    </row>
    <row r="4" spans="1:14" x14ac:dyDescent="0.35">
      <c r="A4" s="13" t="s">
        <v>984</v>
      </c>
      <c r="B4" s="13" t="s">
        <v>963</v>
      </c>
      <c r="C4" s="15" t="s">
        <v>985</v>
      </c>
      <c r="D4" s="13">
        <v>346</v>
      </c>
      <c r="E4" s="13" t="s">
        <v>74</v>
      </c>
      <c r="F4" s="13">
        <v>250</v>
      </c>
      <c r="G4" s="13" t="s">
        <v>118</v>
      </c>
      <c r="H4" s="13" t="s">
        <v>602</v>
      </c>
      <c r="I4" s="18" t="s">
        <v>971</v>
      </c>
      <c r="J4" s="18" t="s">
        <v>972</v>
      </c>
      <c r="K4" s="18" t="s">
        <v>253</v>
      </c>
      <c r="L4" s="18" t="s">
        <v>253</v>
      </c>
      <c r="M4" s="18" t="s">
        <v>584</v>
      </c>
      <c r="N4" s="18" t="s">
        <v>855</v>
      </c>
    </row>
    <row r="5" spans="1:14" x14ac:dyDescent="0.35">
      <c r="A5" s="13" t="s">
        <v>236</v>
      </c>
      <c r="B5" s="13" t="s">
        <v>568</v>
      </c>
      <c r="C5" s="15" t="s">
        <v>961</v>
      </c>
      <c r="D5" s="13">
        <v>645</v>
      </c>
      <c r="E5" s="13" t="s">
        <v>874</v>
      </c>
      <c r="F5" s="13">
        <v>400</v>
      </c>
      <c r="G5" s="13" t="s">
        <v>25</v>
      </c>
      <c r="H5" s="13" t="s">
        <v>606</v>
      </c>
      <c r="I5" s="18" t="s">
        <v>26</v>
      </c>
      <c r="J5" s="18" t="s">
        <v>607</v>
      </c>
      <c r="K5" s="18" t="s">
        <v>242</v>
      </c>
      <c r="L5" s="18" t="s">
        <v>253</v>
      </c>
      <c r="M5" s="18" t="s">
        <v>587</v>
      </c>
      <c r="N5" s="18" t="s">
        <v>857</v>
      </c>
    </row>
    <row r="6" spans="1:14" x14ac:dyDescent="0.35">
      <c r="A6" s="13" t="s">
        <v>959</v>
      </c>
      <c r="B6" s="13" t="s">
        <v>568</v>
      </c>
      <c r="C6" s="15" t="s">
        <v>960</v>
      </c>
      <c r="D6" s="13">
        <v>200</v>
      </c>
      <c r="E6" s="13" t="s">
        <v>49</v>
      </c>
      <c r="F6" s="13">
        <v>200</v>
      </c>
      <c r="G6" s="13" t="s">
        <v>103</v>
      </c>
      <c r="H6" s="13" t="s">
        <v>612</v>
      </c>
      <c r="I6" s="18" t="s">
        <v>890</v>
      </c>
      <c r="J6" s="18" t="s">
        <v>1281</v>
      </c>
      <c r="K6" s="18" t="s">
        <v>242</v>
      </c>
      <c r="L6" s="18" t="s">
        <v>242</v>
      </c>
      <c r="M6" s="18" t="s">
        <v>584</v>
      </c>
      <c r="N6" s="18" t="s">
        <v>586</v>
      </c>
    </row>
    <row r="7" spans="1:14" x14ac:dyDescent="0.35">
      <c r="A7" s="13" t="s">
        <v>978</v>
      </c>
      <c r="B7" s="13" t="s">
        <v>963</v>
      </c>
      <c r="C7" s="15" t="s">
        <v>979</v>
      </c>
      <c r="D7" s="13">
        <v>311</v>
      </c>
      <c r="E7" s="13" t="s">
        <v>980</v>
      </c>
      <c r="F7" s="13">
        <v>922</v>
      </c>
      <c r="G7" s="13" t="s">
        <v>103</v>
      </c>
      <c r="H7" s="13" t="s">
        <v>612</v>
      </c>
      <c r="I7" s="18" t="s">
        <v>890</v>
      </c>
      <c r="J7" s="18" t="s">
        <v>891</v>
      </c>
      <c r="K7" s="18" t="s">
        <v>242</v>
      </c>
      <c r="L7" s="18" t="s">
        <v>253</v>
      </c>
      <c r="M7" s="18" t="s">
        <v>584</v>
      </c>
      <c r="N7" s="18" t="s">
        <v>855</v>
      </c>
    </row>
    <row r="8" spans="1:14" x14ac:dyDescent="0.35">
      <c r="A8" s="13" t="s">
        <v>199</v>
      </c>
      <c r="B8" s="13" t="s">
        <v>963</v>
      </c>
      <c r="C8" s="15" t="s">
        <v>981</v>
      </c>
      <c r="D8" s="13">
        <v>287</v>
      </c>
      <c r="E8" s="13" t="s">
        <v>66</v>
      </c>
      <c r="F8" s="13">
        <v>778</v>
      </c>
      <c r="G8" s="13" t="s">
        <v>118</v>
      </c>
      <c r="H8" s="13" t="s">
        <v>602</v>
      </c>
      <c r="I8" s="18" t="s">
        <v>884</v>
      </c>
      <c r="J8" s="18" t="s">
        <v>885</v>
      </c>
      <c r="K8" s="18" t="s">
        <v>253</v>
      </c>
      <c r="L8" s="18" t="s">
        <v>260</v>
      </c>
      <c r="M8" s="18" t="s">
        <v>584</v>
      </c>
      <c r="N8" s="18" t="s">
        <v>857</v>
      </c>
    </row>
    <row r="9" spans="1:14" x14ac:dyDescent="0.35">
      <c r="A9" s="13" t="s">
        <v>956</v>
      </c>
      <c r="B9" s="13" t="s">
        <v>568</v>
      </c>
      <c r="C9" s="15" t="s">
        <v>957</v>
      </c>
      <c r="D9" s="13">
        <v>134</v>
      </c>
      <c r="E9" s="13" t="s">
        <v>958</v>
      </c>
      <c r="F9" s="13">
        <v>943</v>
      </c>
      <c r="G9" s="13" t="s">
        <v>118</v>
      </c>
      <c r="H9" s="13" t="s">
        <v>602</v>
      </c>
      <c r="I9" s="18" t="s">
        <v>884</v>
      </c>
      <c r="J9" s="18" t="s">
        <v>885</v>
      </c>
      <c r="K9" s="18" t="s">
        <v>242</v>
      </c>
      <c r="L9" s="18" t="s">
        <v>242</v>
      </c>
      <c r="M9" s="18" t="s">
        <v>582</v>
      </c>
      <c r="N9" s="18" t="s">
        <v>585</v>
      </c>
    </row>
    <row r="10" spans="1:14" x14ac:dyDescent="0.35">
      <c r="A10" s="13" t="s">
        <v>308</v>
      </c>
      <c r="B10" s="13" t="s">
        <v>568</v>
      </c>
      <c r="C10" s="15" t="s">
        <v>967</v>
      </c>
      <c r="D10" s="13">
        <v>274</v>
      </c>
      <c r="E10" s="13" t="s">
        <v>715</v>
      </c>
      <c r="F10" s="13">
        <v>269</v>
      </c>
      <c r="G10" s="13" t="s">
        <v>311</v>
      </c>
      <c r="H10" s="13" t="s">
        <v>308</v>
      </c>
      <c r="I10" s="18" t="s">
        <v>312</v>
      </c>
      <c r="J10" s="18" t="s">
        <v>656</v>
      </c>
      <c r="K10" s="18" t="s">
        <v>253</v>
      </c>
      <c r="L10" s="18" t="s">
        <v>253</v>
      </c>
      <c r="M10" s="18" t="s">
        <v>581</v>
      </c>
      <c r="N10" s="18" t="s">
        <v>591</v>
      </c>
    </row>
    <row r="11" spans="1:14" x14ac:dyDescent="0.35">
      <c r="A11" s="13" t="s">
        <v>973</v>
      </c>
      <c r="B11" s="13" t="s">
        <v>568</v>
      </c>
      <c r="C11" s="15" t="s">
        <v>974</v>
      </c>
      <c r="D11" s="13">
        <v>252</v>
      </c>
      <c r="E11" s="13" t="s">
        <v>975</v>
      </c>
      <c r="F11" s="13">
        <v>94</v>
      </c>
      <c r="G11" s="13" t="s">
        <v>16</v>
      </c>
      <c r="H11" s="13" t="s">
        <v>877</v>
      </c>
      <c r="I11" s="18" t="s">
        <v>574</v>
      </c>
      <c r="J11" s="18" t="s">
        <v>608</v>
      </c>
      <c r="K11" s="18" t="s">
        <v>242</v>
      </c>
      <c r="L11" s="18" t="s">
        <v>253</v>
      </c>
      <c r="M11" s="18" t="s">
        <v>582</v>
      </c>
      <c r="N11" s="18" t="s">
        <v>586</v>
      </c>
    </row>
    <row r="12" spans="1:14" x14ac:dyDescent="0.35">
      <c r="A12" s="13" t="s">
        <v>989</v>
      </c>
      <c r="B12" s="13" t="s">
        <v>573</v>
      </c>
      <c r="C12" s="15" t="s">
        <v>990</v>
      </c>
      <c r="D12" s="13">
        <v>319</v>
      </c>
      <c r="E12" s="13" t="s">
        <v>400</v>
      </c>
      <c r="F12" s="13">
        <v>319</v>
      </c>
      <c r="G12" s="13" t="s">
        <v>103</v>
      </c>
      <c r="H12" s="13" t="s">
        <v>612</v>
      </c>
      <c r="I12" s="18" t="s">
        <v>884</v>
      </c>
      <c r="J12" s="18" t="s">
        <v>885</v>
      </c>
      <c r="K12" s="18" t="s">
        <v>253</v>
      </c>
      <c r="L12" s="18" t="s">
        <v>242</v>
      </c>
      <c r="M12" s="18" t="s">
        <v>581</v>
      </c>
      <c r="N12" s="18" t="s">
        <v>855</v>
      </c>
    </row>
    <row r="13" spans="1:14" x14ac:dyDescent="0.35">
      <c r="A13" s="13" t="s">
        <v>976</v>
      </c>
      <c r="B13" s="13" t="s">
        <v>963</v>
      </c>
      <c r="C13" s="15" t="s">
        <v>977</v>
      </c>
      <c r="D13" s="13">
        <v>506</v>
      </c>
      <c r="E13" s="13" t="s">
        <v>123</v>
      </c>
      <c r="F13" s="13">
        <v>284</v>
      </c>
      <c r="G13" s="13" t="s">
        <v>118</v>
      </c>
      <c r="H13" s="13" t="s">
        <v>602</v>
      </c>
      <c r="I13" s="18" t="s">
        <v>379</v>
      </c>
      <c r="J13" s="18" t="s">
        <v>712</v>
      </c>
      <c r="K13" s="18" t="s">
        <v>253</v>
      </c>
      <c r="L13" s="18" t="s">
        <v>253</v>
      </c>
      <c r="M13" s="18" t="s">
        <v>584</v>
      </c>
      <c r="N13" s="18" t="s">
        <v>586</v>
      </c>
    </row>
    <row r="14" spans="1:14" x14ac:dyDescent="0.35">
      <c r="A14" s="13" t="s">
        <v>962</v>
      </c>
      <c r="B14" s="13" t="s">
        <v>963</v>
      </c>
      <c r="C14" s="15" t="s">
        <v>964</v>
      </c>
      <c r="D14" s="13">
        <v>346</v>
      </c>
      <c r="E14" s="13" t="s">
        <v>74</v>
      </c>
      <c r="F14" s="13">
        <v>276</v>
      </c>
      <c r="G14" s="13" t="s">
        <v>118</v>
      </c>
      <c r="H14" s="13" t="s">
        <v>602</v>
      </c>
      <c r="I14" s="18" t="s">
        <v>379</v>
      </c>
      <c r="J14" s="18" t="s">
        <v>712</v>
      </c>
      <c r="K14" s="18" t="s">
        <v>242</v>
      </c>
      <c r="L14" s="18" t="s">
        <v>242</v>
      </c>
      <c r="M14" s="18" t="s">
        <v>584</v>
      </c>
      <c r="N14" s="18" t="s">
        <v>852</v>
      </c>
    </row>
    <row r="15" spans="1:14" x14ac:dyDescent="0.35">
      <c r="A15" s="13" t="s">
        <v>986</v>
      </c>
      <c r="B15" s="13" t="s">
        <v>963</v>
      </c>
      <c r="C15" s="15" t="s">
        <v>987</v>
      </c>
      <c r="D15" s="13">
        <v>494</v>
      </c>
      <c r="E15" s="13" t="s">
        <v>988</v>
      </c>
      <c r="F15" s="13">
        <v>937</v>
      </c>
      <c r="G15" s="13" t="s">
        <v>16</v>
      </c>
      <c r="H15" s="13" t="s">
        <v>877</v>
      </c>
      <c r="I15" s="18" t="s">
        <v>312</v>
      </c>
      <c r="J15" s="18" t="s">
        <v>656</v>
      </c>
      <c r="K15" s="18" t="s">
        <v>242</v>
      </c>
      <c r="L15" s="18" t="s">
        <v>253</v>
      </c>
      <c r="M15" s="18" t="s">
        <v>581</v>
      </c>
      <c r="N15" s="18" t="s">
        <v>586</v>
      </c>
    </row>
    <row r="16" spans="1:14" x14ac:dyDescent="0.35">
      <c r="A16" s="13" t="s">
        <v>982</v>
      </c>
      <c r="B16" s="13" t="s">
        <v>963</v>
      </c>
      <c r="C16" s="15" t="s">
        <v>983</v>
      </c>
      <c r="D16" s="13">
        <v>209</v>
      </c>
      <c r="E16" s="13" t="s">
        <v>349</v>
      </c>
      <c r="F16" s="13">
        <v>200</v>
      </c>
      <c r="G16" s="13" t="s">
        <v>118</v>
      </c>
      <c r="H16" s="13" t="s">
        <v>602</v>
      </c>
      <c r="I16" s="18" t="s">
        <v>379</v>
      </c>
      <c r="J16" s="18" t="s">
        <v>712</v>
      </c>
      <c r="K16" s="18" t="s">
        <v>260</v>
      </c>
      <c r="L16" s="18" t="s">
        <v>260</v>
      </c>
      <c r="M16" s="18" t="s">
        <v>584</v>
      </c>
      <c r="N16" s="18" t="s">
        <v>852</v>
      </c>
    </row>
    <row r="17" spans="1:14" x14ac:dyDescent="0.35">
      <c r="A17" s="18"/>
      <c r="B17" s="18"/>
      <c r="C17" s="19"/>
      <c r="D17" s="18"/>
      <c r="E17" s="18"/>
      <c r="F17" s="18"/>
      <c r="G17" s="18"/>
      <c r="H17" s="18"/>
      <c r="I17" s="18"/>
      <c r="J17" s="18"/>
      <c r="K17" s="18"/>
      <c r="L17" s="18"/>
      <c r="M17" s="18"/>
      <c r="N17" s="18"/>
    </row>
  </sheetData>
  <autoFilter ref="A1:N32" xr:uid="{C993B37C-77AC-4F2D-AF85-EAFE9F1A85F1}">
    <sortState xmlns:xlrd2="http://schemas.microsoft.com/office/spreadsheetml/2017/richdata2" ref="A2:N32">
      <sortCondition ref="A1:A32"/>
    </sortState>
  </autoFilter>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39593-6769-4F5D-B313-68E315B24555}">
  <dimension ref="A1:N17"/>
  <sheetViews>
    <sheetView workbookViewId="0">
      <selection activeCell="C17" sqref="C17"/>
    </sheetView>
  </sheetViews>
  <sheetFormatPr defaultRowHeight="15.5" x14ac:dyDescent="0.35"/>
  <cols>
    <col min="1" max="1" width="38.81640625" style="16" bestFit="1" customWidth="1"/>
    <col min="2" max="2" width="34.90625" style="16" bestFit="1" customWidth="1"/>
    <col min="3" max="3" width="170.1796875" style="17" bestFit="1" customWidth="1"/>
    <col min="4" max="4" width="10.26953125" style="16" bestFit="1" customWidth="1"/>
    <col min="5" max="5" width="42.7265625" style="16" bestFit="1" customWidth="1"/>
    <col min="6" max="6" width="8" style="16" bestFit="1" customWidth="1"/>
    <col min="7" max="7" width="15.81640625" style="16" bestFit="1" customWidth="1"/>
    <col min="8" max="8" width="20" style="16" bestFit="1" customWidth="1"/>
    <col min="9" max="9" width="9.36328125" style="16" bestFit="1" customWidth="1"/>
    <col min="10" max="10" width="12.08984375" style="16" bestFit="1" customWidth="1"/>
    <col min="11" max="16384" width="8.7265625" style="16"/>
  </cols>
  <sheetData>
    <row r="1" spans="1:14" x14ac:dyDescent="0.35">
      <c r="A1" s="6" t="s">
        <v>0</v>
      </c>
      <c r="B1" s="6" t="s">
        <v>1</v>
      </c>
      <c r="C1" s="14" t="s">
        <v>2</v>
      </c>
      <c r="D1" s="6" t="s">
        <v>3</v>
      </c>
      <c r="E1" s="6" t="s">
        <v>4</v>
      </c>
      <c r="F1" s="6" t="s">
        <v>5</v>
      </c>
      <c r="G1" s="6" t="s">
        <v>6</v>
      </c>
      <c r="H1" s="6" t="s">
        <v>7</v>
      </c>
      <c r="I1" s="9" t="s">
        <v>240</v>
      </c>
      <c r="J1" s="9" t="s">
        <v>241</v>
      </c>
      <c r="K1" s="8"/>
      <c r="L1" s="8"/>
      <c r="M1" s="8"/>
      <c r="N1" s="8"/>
    </row>
    <row r="2" spans="1:14" x14ac:dyDescent="0.35">
      <c r="A2" s="13" t="s">
        <v>322</v>
      </c>
      <c r="B2" s="13" t="s">
        <v>323</v>
      </c>
      <c r="C2" s="15" t="s">
        <v>324</v>
      </c>
      <c r="D2" s="13">
        <v>654</v>
      </c>
      <c r="E2" s="13" t="s">
        <v>297</v>
      </c>
      <c r="F2" s="13">
        <v>200</v>
      </c>
      <c r="G2" s="13" t="s">
        <v>38</v>
      </c>
      <c r="H2" s="13" t="s">
        <v>247</v>
      </c>
      <c r="I2" s="18" t="s">
        <v>242</v>
      </c>
      <c r="J2" s="18" t="s">
        <v>243</v>
      </c>
      <c r="K2" s="18"/>
      <c r="L2" s="18"/>
      <c r="M2" s="18"/>
      <c r="N2" s="18"/>
    </row>
    <row r="3" spans="1:14" x14ac:dyDescent="0.35">
      <c r="A3" s="13" t="s">
        <v>325</v>
      </c>
      <c r="B3" s="13" t="s">
        <v>326</v>
      </c>
      <c r="C3" s="15" t="s">
        <v>327</v>
      </c>
      <c r="D3" s="13">
        <v>294</v>
      </c>
      <c r="E3" s="13" t="s">
        <v>292</v>
      </c>
      <c r="F3" s="13">
        <v>294</v>
      </c>
      <c r="G3" s="13" t="s">
        <v>25</v>
      </c>
      <c r="H3" s="13" t="s">
        <v>293</v>
      </c>
      <c r="I3" s="18" t="s">
        <v>253</v>
      </c>
      <c r="J3" s="18" t="s">
        <v>254</v>
      </c>
      <c r="K3" s="18"/>
      <c r="L3" s="18"/>
      <c r="M3" s="18"/>
      <c r="N3" s="18"/>
    </row>
    <row r="4" spans="1:14" x14ac:dyDescent="0.35">
      <c r="A4" s="13" t="s">
        <v>328</v>
      </c>
      <c r="B4" s="13" t="s">
        <v>329</v>
      </c>
      <c r="C4" s="15" t="s">
        <v>330</v>
      </c>
      <c r="D4" s="13">
        <v>148</v>
      </c>
      <c r="E4" s="13" t="s">
        <v>251</v>
      </c>
      <c r="F4" s="13">
        <v>354</v>
      </c>
      <c r="G4" s="13" t="s">
        <v>130</v>
      </c>
      <c r="H4" s="13" t="s">
        <v>252</v>
      </c>
      <c r="I4" s="18" t="s">
        <v>242</v>
      </c>
      <c r="J4" s="18" t="s">
        <v>243</v>
      </c>
      <c r="K4" s="18"/>
      <c r="L4" s="18"/>
      <c r="M4" s="18"/>
      <c r="N4" s="18"/>
    </row>
    <row r="5" spans="1:14" x14ac:dyDescent="0.35">
      <c r="A5" s="13" t="s">
        <v>331</v>
      </c>
      <c r="B5" s="13" t="s">
        <v>332</v>
      </c>
      <c r="C5" s="15" t="s">
        <v>333</v>
      </c>
      <c r="D5" s="13">
        <v>139</v>
      </c>
      <c r="E5" s="13" t="s">
        <v>20</v>
      </c>
      <c r="F5" s="13">
        <v>20</v>
      </c>
      <c r="G5" s="13" t="s">
        <v>25</v>
      </c>
      <c r="H5" s="13" t="s">
        <v>26</v>
      </c>
      <c r="I5" s="18" t="s">
        <v>242</v>
      </c>
      <c r="J5" s="18" t="s">
        <v>254</v>
      </c>
      <c r="K5" s="18"/>
      <c r="L5" s="18"/>
      <c r="M5" s="18"/>
      <c r="N5" s="18"/>
    </row>
    <row r="6" spans="1:14" x14ac:dyDescent="0.35">
      <c r="A6" s="13" t="s">
        <v>334</v>
      </c>
      <c r="B6" s="13" t="s">
        <v>335</v>
      </c>
      <c r="C6" s="15" t="s">
        <v>336</v>
      </c>
      <c r="D6" s="13">
        <v>151</v>
      </c>
      <c r="E6" s="13" t="s">
        <v>337</v>
      </c>
      <c r="F6" s="13" t="s">
        <v>108</v>
      </c>
      <c r="G6" s="13" t="s">
        <v>130</v>
      </c>
      <c r="H6" s="13" t="s">
        <v>338</v>
      </c>
      <c r="I6" s="18" t="s">
        <v>253</v>
      </c>
      <c r="J6" s="18" t="s">
        <v>1281</v>
      </c>
      <c r="K6" s="18"/>
      <c r="L6" s="18"/>
      <c r="M6" s="18"/>
      <c r="N6" s="18"/>
    </row>
    <row r="7" spans="1:14" x14ac:dyDescent="0.35">
      <c r="A7" s="13" t="s">
        <v>236</v>
      </c>
      <c r="B7" s="13" t="s">
        <v>339</v>
      </c>
      <c r="C7" s="15" t="s">
        <v>340</v>
      </c>
      <c r="D7" s="13">
        <v>595</v>
      </c>
      <c r="E7" s="13" t="s">
        <v>239</v>
      </c>
      <c r="F7" s="13">
        <v>400</v>
      </c>
      <c r="G7" s="13" t="s">
        <v>25</v>
      </c>
      <c r="H7" s="13" t="s">
        <v>26</v>
      </c>
      <c r="I7" s="18" t="s">
        <v>242</v>
      </c>
      <c r="J7" s="18" t="s">
        <v>243</v>
      </c>
      <c r="K7" s="18"/>
      <c r="L7" s="18"/>
      <c r="M7" s="18"/>
      <c r="N7" s="18"/>
    </row>
    <row r="8" spans="1:14" x14ac:dyDescent="0.35">
      <c r="A8" s="13" t="s">
        <v>308</v>
      </c>
      <c r="B8" s="13" t="s">
        <v>341</v>
      </c>
      <c r="C8" s="15" t="s">
        <v>342</v>
      </c>
      <c r="D8" s="13">
        <v>269</v>
      </c>
      <c r="E8" s="13" t="s">
        <v>257</v>
      </c>
      <c r="F8" s="13">
        <v>269</v>
      </c>
      <c r="G8" s="13" t="s">
        <v>311</v>
      </c>
      <c r="H8" s="13" t="s">
        <v>312</v>
      </c>
      <c r="I8" s="18" t="s">
        <v>242</v>
      </c>
      <c r="J8" s="18" t="s">
        <v>254</v>
      </c>
      <c r="K8" s="18"/>
      <c r="L8" s="18"/>
      <c r="M8" s="18"/>
      <c r="N8" s="18"/>
    </row>
    <row r="9" spans="1:14" x14ac:dyDescent="0.35">
      <c r="A9" s="13" t="s">
        <v>343</v>
      </c>
      <c r="B9" s="13" t="s">
        <v>344</v>
      </c>
      <c r="C9" s="15" t="s">
        <v>345</v>
      </c>
      <c r="D9" s="13">
        <v>287</v>
      </c>
      <c r="E9" s="13" t="s">
        <v>66</v>
      </c>
      <c r="F9" s="13">
        <v>223</v>
      </c>
      <c r="G9" s="13" t="s">
        <v>25</v>
      </c>
      <c r="H9" s="13" t="s">
        <v>201</v>
      </c>
      <c r="I9" s="18" t="s">
        <v>260</v>
      </c>
      <c r="J9" s="18" t="s">
        <v>261</v>
      </c>
      <c r="K9" s="18"/>
      <c r="L9" s="18"/>
      <c r="M9" s="18"/>
      <c r="N9" s="18"/>
    </row>
    <row r="10" spans="1:14" x14ac:dyDescent="0.35">
      <c r="A10" s="13" t="s">
        <v>346</v>
      </c>
      <c r="B10" s="13" t="s">
        <v>347</v>
      </c>
      <c r="C10" s="15" t="s">
        <v>348</v>
      </c>
      <c r="D10" s="13">
        <v>209</v>
      </c>
      <c r="E10" s="13" t="s">
        <v>349</v>
      </c>
      <c r="F10" s="13">
        <v>209</v>
      </c>
      <c r="G10" s="13" t="s">
        <v>38</v>
      </c>
      <c r="H10" s="13" t="s">
        <v>350</v>
      </c>
      <c r="I10" s="18" t="s">
        <v>253</v>
      </c>
      <c r="J10" s="18" t="s">
        <v>254</v>
      </c>
      <c r="K10" s="18"/>
      <c r="L10" s="18"/>
      <c r="M10" s="18"/>
      <c r="N10" s="18"/>
    </row>
    <row r="11" spans="1:14" x14ac:dyDescent="0.35">
      <c r="A11" s="13" t="s">
        <v>351</v>
      </c>
      <c r="B11" s="13" t="s">
        <v>352</v>
      </c>
      <c r="C11" s="15" t="s">
        <v>353</v>
      </c>
      <c r="D11" s="13">
        <v>522</v>
      </c>
      <c r="E11" s="13" t="s">
        <v>354</v>
      </c>
      <c r="F11" s="13" t="s">
        <v>108</v>
      </c>
      <c r="G11" s="13" t="s">
        <v>25</v>
      </c>
      <c r="H11" s="13" t="s">
        <v>164</v>
      </c>
      <c r="I11" s="18" t="s">
        <v>242</v>
      </c>
      <c r="J11" s="18" t="s">
        <v>243</v>
      </c>
      <c r="K11" s="18"/>
      <c r="L11" s="18"/>
      <c r="M11" s="18"/>
      <c r="N11" s="18"/>
    </row>
    <row r="12" spans="1:14" x14ac:dyDescent="0.35">
      <c r="A12" s="13" t="s">
        <v>55</v>
      </c>
      <c r="B12" s="13" t="s">
        <v>355</v>
      </c>
      <c r="C12" s="15" t="s">
        <v>356</v>
      </c>
      <c r="D12" s="13">
        <v>94</v>
      </c>
      <c r="E12" s="13" t="s">
        <v>57</v>
      </c>
      <c r="F12" s="13">
        <v>300</v>
      </c>
      <c r="G12" s="13" t="s">
        <v>103</v>
      </c>
      <c r="H12" s="13" t="s">
        <v>104</v>
      </c>
      <c r="I12" s="18" t="s">
        <v>253</v>
      </c>
      <c r="J12" s="18" t="s">
        <v>254</v>
      </c>
      <c r="K12" s="18"/>
      <c r="L12" s="18"/>
      <c r="M12" s="18"/>
      <c r="N12" s="18"/>
    </row>
    <row r="13" spans="1:14" x14ac:dyDescent="0.35">
      <c r="A13" s="13" t="s">
        <v>357</v>
      </c>
      <c r="B13" s="13" t="s">
        <v>358</v>
      </c>
      <c r="C13" s="15" t="s">
        <v>359</v>
      </c>
      <c r="D13" s="13">
        <v>269</v>
      </c>
      <c r="E13" s="13" t="s">
        <v>257</v>
      </c>
      <c r="F13" s="13">
        <v>250</v>
      </c>
      <c r="G13" s="13" t="s">
        <v>38</v>
      </c>
      <c r="H13" s="13" t="s">
        <v>247</v>
      </c>
      <c r="I13" s="18" t="s">
        <v>253</v>
      </c>
      <c r="J13" s="18" t="s">
        <v>243</v>
      </c>
      <c r="K13" s="18"/>
      <c r="L13" s="18"/>
      <c r="M13" s="18"/>
      <c r="N13" s="18"/>
    </row>
    <row r="14" spans="1:14" x14ac:dyDescent="0.35">
      <c r="A14" s="13" t="s">
        <v>360</v>
      </c>
      <c r="B14" s="13" t="s">
        <v>361</v>
      </c>
      <c r="C14" s="15" t="s">
        <v>362</v>
      </c>
      <c r="D14" s="13">
        <v>506</v>
      </c>
      <c r="E14" s="13" t="s">
        <v>123</v>
      </c>
      <c r="F14" s="13" t="s">
        <v>108</v>
      </c>
      <c r="G14" s="13" t="s">
        <v>25</v>
      </c>
      <c r="H14" s="13" t="s">
        <v>164</v>
      </c>
      <c r="I14" s="18" t="s">
        <v>253</v>
      </c>
      <c r="J14" s="18" t="s">
        <v>254</v>
      </c>
      <c r="K14" s="18"/>
      <c r="L14" s="18"/>
      <c r="M14" s="18"/>
      <c r="N14" s="18"/>
    </row>
    <row r="15" spans="1:14" x14ac:dyDescent="0.35">
      <c r="A15" s="13"/>
      <c r="B15" s="13"/>
      <c r="C15" s="15"/>
      <c r="D15" s="13"/>
      <c r="E15" s="13"/>
      <c r="F15" s="13"/>
      <c r="G15" s="13"/>
      <c r="H15" s="13"/>
      <c r="I15" s="18"/>
      <c r="J15" s="18"/>
      <c r="K15" s="18"/>
      <c r="L15" s="18"/>
      <c r="M15" s="18"/>
      <c r="N15" s="18"/>
    </row>
    <row r="16" spans="1:14" x14ac:dyDescent="0.35">
      <c r="A16" s="13"/>
      <c r="B16" s="13"/>
      <c r="C16" s="15"/>
      <c r="D16" s="13"/>
      <c r="E16" s="13"/>
      <c r="F16" s="13"/>
      <c r="G16" s="13"/>
      <c r="H16" s="13"/>
      <c r="I16" s="18"/>
      <c r="J16" s="18"/>
      <c r="K16" s="18"/>
      <c r="L16" s="18"/>
      <c r="M16" s="18"/>
      <c r="N16" s="18"/>
    </row>
    <row r="17" spans="1:14" x14ac:dyDescent="0.35">
      <c r="A17" s="18"/>
      <c r="B17" s="18"/>
      <c r="C17" s="19"/>
      <c r="D17" s="18"/>
      <c r="E17" s="18"/>
      <c r="F17" s="18"/>
      <c r="G17" s="18"/>
      <c r="H17" s="18"/>
      <c r="I17" s="18"/>
      <c r="J17" s="18"/>
      <c r="K17" s="18"/>
      <c r="L17" s="18"/>
      <c r="M17" s="18"/>
      <c r="N17" s="18"/>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5D952-8F41-4FE5-9175-DD887F4C54D4}">
  <dimension ref="A1:N17"/>
  <sheetViews>
    <sheetView workbookViewId="0">
      <selection activeCell="C17" sqref="C17"/>
    </sheetView>
  </sheetViews>
  <sheetFormatPr defaultRowHeight="15.5" x14ac:dyDescent="0.35"/>
  <cols>
    <col min="1" max="1" width="31.1796875" style="16" bestFit="1" customWidth="1"/>
    <col min="2" max="2" width="16.7265625" style="16" bestFit="1" customWidth="1"/>
    <col min="3" max="3" width="137.81640625" style="17" bestFit="1" customWidth="1"/>
    <col min="4" max="4" width="12.54296875" style="16" bestFit="1" customWidth="1"/>
    <col min="5" max="5" width="42.7265625" style="16" bestFit="1" customWidth="1"/>
    <col min="6" max="6" width="10.26953125" style="16" bestFit="1" customWidth="1"/>
    <col min="7" max="7" width="18.08984375" style="16" bestFit="1" customWidth="1"/>
    <col min="8" max="8" width="26.90625" style="16" bestFit="1" customWidth="1"/>
    <col min="9" max="9" width="24.90625" style="16" bestFit="1" customWidth="1"/>
    <col min="10" max="10" width="34.90625" style="16" bestFit="1" customWidth="1"/>
    <col min="11" max="11" width="11.6328125" style="16" bestFit="1" customWidth="1"/>
    <col min="12" max="12" width="14.36328125" style="16" bestFit="1" customWidth="1"/>
    <col min="13" max="13" width="36.453125" style="16" bestFit="1" customWidth="1"/>
    <col min="14" max="14" width="39.453125" style="16" bestFit="1" customWidth="1"/>
    <col min="15" max="16384" width="8.7265625" style="16"/>
  </cols>
  <sheetData>
    <row r="1" spans="1:14" x14ac:dyDescent="0.35">
      <c r="A1" s="6" t="s">
        <v>0</v>
      </c>
      <c r="B1" s="6" t="s">
        <v>567</v>
      </c>
      <c r="C1" s="14" t="s">
        <v>2</v>
      </c>
      <c r="D1" s="6" t="s">
        <v>3</v>
      </c>
      <c r="E1" s="6" t="s">
        <v>4</v>
      </c>
      <c r="F1" s="6" t="s">
        <v>5</v>
      </c>
      <c r="G1" s="6" t="s">
        <v>6</v>
      </c>
      <c r="H1" s="6" t="s">
        <v>598</v>
      </c>
      <c r="I1" s="9" t="s">
        <v>7</v>
      </c>
      <c r="J1" s="9" t="s">
        <v>599</v>
      </c>
      <c r="K1" s="8" t="s">
        <v>240</v>
      </c>
      <c r="L1" s="8" t="s">
        <v>241</v>
      </c>
      <c r="M1" s="8" t="s">
        <v>579</v>
      </c>
      <c r="N1" s="8" t="s">
        <v>580</v>
      </c>
    </row>
    <row r="2" spans="1:14" x14ac:dyDescent="0.35">
      <c r="A2" s="13" t="s">
        <v>1120</v>
      </c>
      <c r="B2" s="13" t="s">
        <v>963</v>
      </c>
      <c r="C2" s="15" t="s">
        <v>1121</v>
      </c>
      <c r="D2" s="13">
        <v>15</v>
      </c>
      <c r="E2" s="13" t="s">
        <v>880</v>
      </c>
      <c r="F2" s="13">
        <v>250</v>
      </c>
      <c r="G2" s="13" t="s">
        <v>118</v>
      </c>
      <c r="H2" s="13" t="s">
        <v>602</v>
      </c>
      <c r="I2" s="18" t="s">
        <v>971</v>
      </c>
      <c r="J2" s="18" t="s">
        <v>972</v>
      </c>
      <c r="K2" s="18" t="s">
        <v>242</v>
      </c>
      <c r="L2" s="18" t="s">
        <v>253</v>
      </c>
      <c r="M2" s="18" t="s">
        <v>584</v>
      </c>
      <c r="N2" s="18" t="s">
        <v>585</v>
      </c>
    </row>
    <row r="3" spans="1:14" x14ac:dyDescent="0.35">
      <c r="A3" s="13" t="s">
        <v>1109</v>
      </c>
      <c r="B3" s="13" t="s">
        <v>963</v>
      </c>
      <c r="C3" s="15" t="s">
        <v>1110</v>
      </c>
      <c r="D3" s="13">
        <v>73</v>
      </c>
      <c r="E3" s="13" t="s">
        <v>29</v>
      </c>
      <c r="F3" s="13">
        <v>15</v>
      </c>
      <c r="G3" s="13" t="s">
        <v>25</v>
      </c>
      <c r="H3" s="13" t="s">
        <v>606</v>
      </c>
      <c r="I3" s="18" t="s">
        <v>26</v>
      </c>
      <c r="J3" s="18" t="s">
        <v>607</v>
      </c>
      <c r="K3" s="18" t="s">
        <v>242</v>
      </c>
      <c r="L3" s="18" t="s">
        <v>253</v>
      </c>
      <c r="M3" s="18" t="s">
        <v>584</v>
      </c>
      <c r="N3" s="18" t="s">
        <v>591</v>
      </c>
    </row>
    <row r="4" spans="1:14" x14ac:dyDescent="0.35">
      <c r="A4" s="13" t="s">
        <v>1122</v>
      </c>
      <c r="B4" s="13" t="s">
        <v>963</v>
      </c>
      <c r="C4" s="15" t="s">
        <v>1123</v>
      </c>
      <c r="D4" s="13">
        <v>73</v>
      </c>
      <c r="E4" s="13" t="s">
        <v>29</v>
      </c>
      <c r="F4" s="13">
        <v>306</v>
      </c>
      <c r="G4" s="13" t="s">
        <v>118</v>
      </c>
      <c r="H4" s="13" t="s">
        <v>602</v>
      </c>
      <c r="I4" s="18" t="s">
        <v>379</v>
      </c>
      <c r="J4" s="18" t="s">
        <v>712</v>
      </c>
      <c r="K4" s="18" t="s">
        <v>253</v>
      </c>
      <c r="L4" s="18" t="s">
        <v>253</v>
      </c>
      <c r="M4" s="18" t="s">
        <v>588</v>
      </c>
      <c r="N4" s="18" t="s">
        <v>591</v>
      </c>
    </row>
    <row r="5" spans="1:14" x14ac:dyDescent="0.35">
      <c r="A5" s="13" t="s">
        <v>617</v>
      </c>
      <c r="B5" s="13" t="s">
        <v>963</v>
      </c>
      <c r="C5" s="15" t="s">
        <v>1115</v>
      </c>
      <c r="D5" s="13">
        <v>346</v>
      </c>
      <c r="E5" s="13" t="s">
        <v>74</v>
      </c>
      <c r="F5" s="13">
        <v>798</v>
      </c>
      <c r="G5" s="13" t="s">
        <v>118</v>
      </c>
      <c r="H5" s="13" t="s">
        <v>602</v>
      </c>
      <c r="I5" s="18" t="s">
        <v>971</v>
      </c>
      <c r="J5" s="18" t="s">
        <v>972</v>
      </c>
      <c r="K5" s="18" t="s">
        <v>242</v>
      </c>
      <c r="L5" s="18" t="s">
        <v>253</v>
      </c>
      <c r="M5" s="18" t="s">
        <v>584</v>
      </c>
      <c r="N5" s="18" t="s">
        <v>852</v>
      </c>
    </row>
    <row r="6" spans="1:14" x14ac:dyDescent="0.35">
      <c r="A6" s="13" t="s">
        <v>1124</v>
      </c>
      <c r="B6" s="13" t="s">
        <v>1074</v>
      </c>
      <c r="C6" s="15" t="s">
        <v>1125</v>
      </c>
      <c r="D6" s="13">
        <v>486</v>
      </c>
      <c r="E6" s="13" t="s">
        <v>73</v>
      </c>
      <c r="F6" s="13">
        <v>770</v>
      </c>
      <c r="G6" s="13" t="s">
        <v>25</v>
      </c>
      <c r="H6" s="13" t="s">
        <v>606</v>
      </c>
      <c r="I6" s="18" t="s">
        <v>26</v>
      </c>
      <c r="J6" s="18" t="s">
        <v>1281</v>
      </c>
      <c r="K6" s="18" t="s">
        <v>253</v>
      </c>
      <c r="L6" s="18" t="s">
        <v>253</v>
      </c>
      <c r="M6" s="18" t="s">
        <v>587</v>
      </c>
      <c r="N6" s="18" t="s">
        <v>857</v>
      </c>
    </row>
    <row r="7" spans="1:14" x14ac:dyDescent="0.35">
      <c r="A7" s="13" t="s">
        <v>950</v>
      </c>
      <c r="B7" s="13" t="s">
        <v>568</v>
      </c>
      <c r="C7" s="15" t="s">
        <v>1133</v>
      </c>
      <c r="D7" s="13">
        <v>74</v>
      </c>
      <c r="E7" s="13" t="s">
        <v>1119</v>
      </c>
      <c r="F7" s="13">
        <v>158</v>
      </c>
      <c r="G7" s="13" t="s">
        <v>118</v>
      </c>
      <c r="H7" s="13" t="s">
        <v>602</v>
      </c>
      <c r="I7" s="18" t="s">
        <v>971</v>
      </c>
      <c r="J7" s="18" t="s">
        <v>972</v>
      </c>
      <c r="K7" s="18" t="s">
        <v>242</v>
      </c>
      <c r="L7" s="18" t="s">
        <v>253</v>
      </c>
      <c r="M7" s="18" t="s">
        <v>584</v>
      </c>
      <c r="N7" s="18" t="s">
        <v>585</v>
      </c>
    </row>
    <row r="8" spans="1:14" x14ac:dyDescent="0.35">
      <c r="A8" s="13" t="s">
        <v>1131</v>
      </c>
      <c r="B8" s="13" t="s">
        <v>568</v>
      </c>
      <c r="C8" s="15" t="s">
        <v>1132</v>
      </c>
      <c r="D8" s="13">
        <v>346</v>
      </c>
      <c r="E8" s="13" t="s">
        <v>74</v>
      </c>
      <c r="F8" s="13">
        <v>285</v>
      </c>
      <c r="G8" s="13" t="s">
        <v>118</v>
      </c>
      <c r="H8" s="13" t="s">
        <v>602</v>
      </c>
      <c r="I8" s="18" t="s">
        <v>379</v>
      </c>
      <c r="J8" s="18" t="s">
        <v>712</v>
      </c>
      <c r="K8" s="18" t="s">
        <v>242</v>
      </c>
      <c r="L8" s="18" t="s">
        <v>253</v>
      </c>
      <c r="M8" s="18" t="s">
        <v>627</v>
      </c>
      <c r="N8" s="18" t="s">
        <v>1047</v>
      </c>
    </row>
    <row r="9" spans="1:14" x14ac:dyDescent="0.35">
      <c r="A9" s="13" t="s">
        <v>328</v>
      </c>
      <c r="B9" s="13" t="s">
        <v>568</v>
      </c>
      <c r="C9" s="15" t="s">
        <v>1118</v>
      </c>
      <c r="D9" s="13">
        <v>74</v>
      </c>
      <c r="E9" s="13" t="s">
        <v>1119</v>
      </c>
      <c r="F9" s="13">
        <v>354</v>
      </c>
      <c r="G9" s="13" t="s">
        <v>103</v>
      </c>
      <c r="H9" s="13" t="s">
        <v>612</v>
      </c>
      <c r="I9" s="18" t="s">
        <v>884</v>
      </c>
      <c r="J9" s="18" t="s">
        <v>885</v>
      </c>
      <c r="K9" s="18" t="s">
        <v>253</v>
      </c>
      <c r="L9" s="18" t="s">
        <v>242</v>
      </c>
      <c r="M9" s="18" t="s">
        <v>627</v>
      </c>
      <c r="N9" s="18" t="s">
        <v>591</v>
      </c>
    </row>
    <row r="10" spans="1:14" x14ac:dyDescent="0.35">
      <c r="A10" s="13" t="s">
        <v>1107</v>
      </c>
      <c r="B10" s="13" t="s">
        <v>573</v>
      </c>
      <c r="C10" s="15" t="s">
        <v>1108</v>
      </c>
      <c r="D10" s="13">
        <v>94</v>
      </c>
      <c r="E10" s="13" t="s">
        <v>57</v>
      </c>
      <c r="F10" s="13">
        <v>319</v>
      </c>
      <c r="G10" s="13" t="s">
        <v>103</v>
      </c>
      <c r="H10" s="13" t="s">
        <v>612</v>
      </c>
      <c r="I10" s="18" t="s">
        <v>884</v>
      </c>
      <c r="J10" s="18" t="s">
        <v>885</v>
      </c>
      <c r="K10" s="18" t="s">
        <v>242</v>
      </c>
      <c r="L10" s="18" t="s">
        <v>253</v>
      </c>
      <c r="M10" s="18" t="s">
        <v>588</v>
      </c>
      <c r="N10" s="18" t="s">
        <v>1047</v>
      </c>
    </row>
    <row r="11" spans="1:14" x14ac:dyDescent="0.35">
      <c r="A11" s="13" t="s">
        <v>1126</v>
      </c>
      <c r="B11" s="13" t="s">
        <v>568</v>
      </c>
      <c r="C11" s="15" t="s">
        <v>1127</v>
      </c>
      <c r="D11" s="13">
        <v>30</v>
      </c>
      <c r="E11" s="13" t="s">
        <v>1128</v>
      </c>
      <c r="F11" s="13">
        <v>347</v>
      </c>
      <c r="G11" s="13" t="s">
        <v>103</v>
      </c>
      <c r="H11" s="13" t="s">
        <v>612</v>
      </c>
      <c r="I11" s="18" t="s">
        <v>884</v>
      </c>
      <c r="J11" s="18" t="s">
        <v>885</v>
      </c>
      <c r="K11" s="18" t="s">
        <v>253</v>
      </c>
      <c r="L11" s="18" t="s">
        <v>253</v>
      </c>
      <c r="M11" s="18" t="s">
        <v>582</v>
      </c>
      <c r="N11" s="18" t="s">
        <v>586</v>
      </c>
    </row>
    <row r="12" spans="1:14" x14ac:dyDescent="0.35">
      <c r="A12" s="13" t="s">
        <v>1116</v>
      </c>
      <c r="B12" s="13" t="s">
        <v>1074</v>
      </c>
      <c r="C12" s="15" t="s">
        <v>1117</v>
      </c>
      <c r="D12" s="13">
        <v>770</v>
      </c>
      <c r="E12" s="13" t="s">
        <v>1054</v>
      </c>
      <c r="F12" s="13">
        <v>400</v>
      </c>
      <c r="G12" s="13" t="s">
        <v>25</v>
      </c>
      <c r="H12" s="13" t="s">
        <v>606</v>
      </c>
      <c r="I12" s="18" t="s">
        <v>26</v>
      </c>
      <c r="J12" s="18" t="s">
        <v>607</v>
      </c>
      <c r="K12" s="18" t="s">
        <v>253</v>
      </c>
      <c r="L12" s="18" t="s">
        <v>253</v>
      </c>
      <c r="M12" s="18" t="s">
        <v>587</v>
      </c>
      <c r="N12" s="18" t="s">
        <v>857</v>
      </c>
    </row>
    <row r="13" spans="1:14" x14ac:dyDescent="0.35">
      <c r="A13" s="13" t="s">
        <v>1111</v>
      </c>
      <c r="B13" s="13" t="s">
        <v>963</v>
      </c>
      <c r="C13" s="15" t="s">
        <v>1112</v>
      </c>
      <c r="D13" s="13">
        <v>15</v>
      </c>
      <c r="E13" s="13" t="s">
        <v>880</v>
      </c>
      <c r="F13" s="13">
        <v>285</v>
      </c>
      <c r="G13" s="13" t="s">
        <v>118</v>
      </c>
      <c r="H13" s="13" t="s">
        <v>602</v>
      </c>
      <c r="I13" s="18" t="s">
        <v>379</v>
      </c>
      <c r="J13" s="18" t="s">
        <v>712</v>
      </c>
      <c r="K13" s="18" t="s">
        <v>242</v>
      </c>
      <c r="L13" s="18" t="s">
        <v>242</v>
      </c>
      <c r="M13" s="18" t="s">
        <v>584</v>
      </c>
      <c r="N13" s="18" t="s">
        <v>585</v>
      </c>
    </row>
    <row r="14" spans="1:14" x14ac:dyDescent="0.35">
      <c r="A14" s="13" t="s">
        <v>1129</v>
      </c>
      <c r="B14" s="13" t="s">
        <v>963</v>
      </c>
      <c r="C14" s="15" t="s">
        <v>1130</v>
      </c>
      <c r="D14" s="13">
        <v>73</v>
      </c>
      <c r="E14" s="13" t="s">
        <v>29</v>
      </c>
      <c r="F14" s="13">
        <v>264</v>
      </c>
      <c r="G14" s="13" t="s">
        <v>25</v>
      </c>
      <c r="H14" s="13" t="s">
        <v>606</v>
      </c>
      <c r="I14" s="18" t="s">
        <v>26</v>
      </c>
      <c r="J14" s="18" t="s">
        <v>607</v>
      </c>
      <c r="K14" s="18" t="s">
        <v>253</v>
      </c>
      <c r="L14" s="18" t="s">
        <v>253</v>
      </c>
      <c r="M14" s="18" t="s">
        <v>584</v>
      </c>
      <c r="N14" s="18" t="s">
        <v>585</v>
      </c>
    </row>
    <row r="15" spans="1:14" x14ac:dyDescent="0.35">
      <c r="A15" s="13" t="s">
        <v>1105</v>
      </c>
      <c r="B15" s="13" t="s">
        <v>963</v>
      </c>
      <c r="C15" s="15" t="s">
        <v>1106</v>
      </c>
      <c r="D15" s="13">
        <v>346</v>
      </c>
      <c r="E15" s="13" t="s">
        <v>74</v>
      </c>
      <c r="F15" s="13">
        <v>284</v>
      </c>
      <c r="G15" s="13" t="s">
        <v>118</v>
      </c>
      <c r="H15" s="13" t="s">
        <v>602</v>
      </c>
      <c r="I15" s="18" t="s">
        <v>379</v>
      </c>
      <c r="J15" s="18" t="s">
        <v>712</v>
      </c>
      <c r="K15" s="18" t="s">
        <v>242</v>
      </c>
      <c r="L15" s="18" t="s">
        <v>242</v>
      </c>
      <c r="M15" s="18" t="s">
        <v>584</v>
      </c>
      <c r="N15" s="18" t="s">
        <v>585</v>
      </c>
    </row>
    <row r="16" spans="1:14" x14ac:dyDescent="0.35">
      <c r="A16" s="13" t="s">
        <v>1113</v>
      </c>
      <c r="B16" s="13" t="s">
        <v>568</v>
      </c>
      <c r="C16" s="15" t="s">
        <v>1114</v>
      </c>
      <c r="D16" s="13">
        <v>506</v>
      </c>
      <c r="E16" s="13" t="s">
        <v>123</v>
      </c>
      <c r="F16" s="13">
        <v>937</v>
      </c>
      <c r="G16" s="13" t="s">
        <v>118</v>
      </c>
      <c r="H16" s="13" t="s">
        <v>602</v>
      </c>
      <c r="I16" s="18" t="s">
        <v>379</v>
      </c>
      <c r="J16" s="18" t="s">
        <v>712</v>
      </c>
      <c r="K16" s="18" t="s">
        <v>242</v>
      </c>
      <c r="L16" s="18" t="s">
        <v>253</v>
      </c>
      <c r="M16" s="18" t="s">
        <v>581</v>
      </c>
      <c r="N16" s="18" t="s">
        <v>852</v>
      </c>
    </row>
    <row r="17" spans="1:14" x14ac:dyDescent="0.35">
      <c r="A17" s="18"/>
      <c r="B17" s="18"/>
      <c r="C17" s="19"/>
      <c r="D17" s="18"/>
      <c r="E17" s="18"/>
      <c r="F17" s="18"/>
      <c r="G17" s="18"/>
      <c r="H17" s="18"/>
      <c r="I17" s="18"/>
      <c r="J17" s="18"/>
      <c r="K17" s="18"/>
      <c r="L17" s="18"/>
      <c r="M17" s="18"/>
      <c r="N17" s="18"/>
    </row>
  </sheetData>
  <autoFilter ref="A1:N31" xr:uid="{1815D952-8F41-4FE5-9175-DD887F4C54D4}">
    <sortState xmlns:xlrd2="http://schemas.microsoft.com/office/spreadsheetml/2017/richdata2" ref="A2:N31">
      <sortCondition ref="A1:A31"/>
    </sortState>
  </autoFilter>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28F83-05B9-478F-9B99-DDA982142305}">
  <dimension ref="A1:N17"/>
  <sheetViews>
    <sheetView workbookViewId="0">
      <selection activeCell="C17" sqref="C17"/>
    </sheetView>
  </sheetViews>
  <sheetFormatPr defaultRowHeight="15.5" x14ac:dyDescent="0.35"/>
  <cols>
    <col min="1" max="1" width="29.81640625" style="16" bestFit="1" customWidth="1"/>
    <col min="2" max="2" width="16.7265625" style="16" bestFit="1" customWidth="1"/>
    <col min="3" max="3" width="145.7265625" style="17" bestFit="1" customWidth="1"/>
    <col min="4" max="4" width="12.54296875" style="16" bestFit="1" customWidth="1"/>
    <col min="5" max="5" width="42.7265625" style="16" bestFit="1" customWidth="1"/>
    <col min="6" max="6" width="10.26953125" style="16" bestFit="1" customWidth="1"/>
    <col min="7" max="7" width="18.08984375" style="16" bestFit="1" customWidth="1"/>
    <col min="8" max="8" width="26.90625" style="16" bestFit="1" customWidth="1"/>
    <col min="9" max="9" width="24.90625" style="16" bestFit="1" customWidth="1"/>
    <col min="10" max="10" width="37.6328125" style="16" bestFit="1" customWidth="1"/>
    <col min="11" max="11" width="11.6328125" style="16" bestFit="1" customWidth="1"/>
    <col min="12" max="12" width="14.36328125" style="16" bestFit="1" customWidth="1"/>
    <col min="13" max="13" width="36.453125" style="16" bestFit="1" customWidth="1"/>
    <col min="14" max="14" width="39.453125" style="16" bestFit="1" customWidth="1"/>
    <col min="15" max="16384" width="8.7265625" style="16"/>
  </cols>
  <sheetData>
    <row r="1" spans="1:14" x14ac:dyDescent="0.35">
      <c r="A1" s="6" t="s">
        <v>0</v>
      </c>
      <c r="B1" s="6" t="s">
        <v>567</v>
      </c>
      <c r="C1" s="14" t="s">
        <v>2</v>
      </c>
      <c r="D1" s="6" t="s">
        <v>3</v>
      </c>
      <c r="E1" s="6" t="s">
        <v>4</v>
      </c>
      <c r="F1" s="6" t="s">
        <v>5</v>
      </c>
      <c r="G1" s="6" t="s">
        <v>6</v>
      </c>
      <c r="H1" s="6" t="s">
        <v>598</v>
      </c>
      <c r="I1" s="9" t="s">
        <v>7</v>
      </c>
      <c r="J1" s="9" t="s">
        <v>599</v>
      </c>
      <c r="K1" s="8" t="s">
        <v>240</v>
      </c>
      <c r="L1" s="8" t="s">
        <v>241</v>
      </c>
      <c r="M1" s="8" t="s">
        <v>579</v>
      </c>
      <c r="N1" s="8" t="s">
        <v>580</v>
      </c>
    </row>
    <row r="2" spans="1:14" x14ac:dyDescent="0.35">
      <c r="A2" s="13" t="s">
        <v>1155</v>
      </c>
      <c r="B2" s="13" t="s">
        <v>1156</v>
      </c>
      <c r="C2" s="15" t="s">
        <v>1157</v>
      </c>
      <c r="D2" s="13">
        <v>49</v>
      </c>
      <c r="E2" s="13" t="s">
        <v>1158</v>
      </c>
      <c r="F2" s="13">
        <v>307</v>
      </c>
      <c r="G2" s="13" t="s">
        <v>118</v>
      </c>
      <c r="H2" s="13" t="s">
        <v>602</v>
      </c>
      <c r="I2" s="18" t="s">
        <v>971</v>
      </c>
      <c r="J2" s="18" t="s">
        <v>972</v>
      </c>
      <c r="K2" s="18" t="s">
        <v>242</v>
      </c>
      <c r="L2" s="18" t="s">
        <v>253</v>
      </c>
      <c r="M2" s="18" t="s">
        <v>618</v>
      </c>
      <c r="N2" s="18" t="s">
        <v>859</v>
      </c>
    </row>
    <row r="3" spans="1:14" x14ac:dyDescent="0.35">
      <c r="A3" s="13" t="s">
        <v>1146</v>
      </c>
      <c r="B3" s="13" t="s">
        <v>963</v>
      </c>
      <c r="C3" s="15" t="s">
        <v>1147</v>
      </c>
      <c r="D3" s="13">
        <v>73</v>
      </c>
      <c r="E3" s="13" t="s">
        <v>29</v>
      </c>
      <c r="F3" s="13">
        <v>15</v>
      </c>
      <c r="G3" s="13" t="s">
        <v>118</v>
      </c>
      <c r="H3" s="13" t="s">
        <v>602</v>
      </c>
      <c r="I3" s="18" t="s">
        <v>379</v>
      </c>
      <c r="J3" s="18" t="s">
        <v>712</v>
      </c>
      <c r="K3" s="18" t="s">
        <v>242</v>
      </c>
      <c r="L3" s="18" t="s">
        <v>242</v>
      </c>
      <c r="M3" s="18" t="s">
        <v>584</v>
      </c>
      <c r="N3" s="18" t="s">
        <v>585</v>
      </c>
    </row>
    <row r="4" spans="1:14" x14ac:dyDescent="0.35">
      <c r="A4" s="13" t="s">
        <v>1143</v>
      </c>
      <c r="B4" s="13" t="s">
        <v>1074</v>
      </c>
      <c r="C4" s="15" t="s">
        <v>1144</v>
      </c>
      <c r="D4" s="13">
        <v>770</v>
      </c>
      <c r="E4" s="13" t="s">
        <v>1054</v>
      </c>
      <c r="F4" s="13">
        <v>400</v>
      </c>
      <c r="G4" s="13" t="s">
        <v>25</v>
      </c>
      <c r="H4" s="13" t="s">
        <v>606</v>
      </c>
      <c r="I4" s="18" t="s">
        <v>26</v>
      </c>
      <c r="J4" s="18" t="s">
        <v>607</v>
      </c>
      <c r="K4" s="18" t="s">
        <v>242</v>
      </c>
      <c r="L4" s="18" t="s">
        <v>253</v>
      </c>
      <c r="M4" s="18" t="s">
        <v>587</v>
      </c>
      <c r="N4" s="18" t="s">
        <v>857</v>
      </c>
    </row>
    <row r="5" spans="1:14" x14ac:dyDescent="0.35">
      <c r="A5" s="13" t="s">
        <v>1163</v>
      </c>
      <c r="B5" s="13" t="s">
        <v>568</v>
      </c>
      <c r="C5" s="15" t="s">
        <v>1164</v>
      </c>
      <c r="D5" s="13">
        <v>506</v>
      </c>
      <c r="E5" s="13" t="s">
        <v>123</v>
      </c>
      <c r="F5" s="13">
        <v>749</v>
      </c>
      <c r="G5" s="13" t="s">
        <v>118</v>
      </c>
      <c r="H5" s="13" t="s">
        <v>602</v>
      </c>
      <c r="I5" s="18" t="s">
        <v>379</v>
      </c>
      <c r="J5" s="18" t="s">
        <v>712</v>
      </c>
      <c r="K5" s="18" t="s">
        <v>242</v>
      </c>
      <c r="L5" s="18" t="s">
        <v>253</v>
      </c>
      <c r="M5" s="18" t="s">
        <v>582</v>
      </c>
      <c r="N5" s="18" t="s">
        <v>591</v>
      </c>
    </row>
    <row r="6" spans="1:14" x14ac:dyDescent="0.35">
      <c r="A6" s="13" t="s">
        <v>1161</v>
      </c>
      <c r="B6" s="13" t="s">
        <v>963</v>
      </c>
      <c r="C6" s="15" t="s">
        <v>1162</v>
      </c>
      <c r="D6" s="13">
        <v>15</v>
      </c>
      <c r="E6" s="13" t="s">
        <v>880</v>
      </c>
      <c r="F6" s="13">
        <v>200</v>
      </c>
      <c r="G6" s="13" t="s">
        <v>118</v>
      </c>
      <c r="H6" s="13" t="s">
        <v>602</v>
      </c>
      <c r="I6" s="18" t="s">
        <v>971</v>
      </c>
      <c r="J6" s="18" t="s">
        <v>1281</v>
      </c>
      <c r="K6" s="18" t="s">
        <v>242</v>
      </c>
      <c r="L6" s="18" t="s">
        <v>253</v>
      </c>
      <c r="M6" s="18" t="s">
        <v>584</v>
      </c>
      <c r="N6" s="18" t="s">
        <v>585</v>
      </c>
    </row>
    <row r="7" spans="1:14" x14ac:dyDescent="0.35">
      <c r="A7" s="13" t="s">
        <v>1148</v>
      </c>
      <c r="B7" s="13" t="s">
        <v>963</v>
      </c>
      <c r="C7" s="15" t="s">
        <v>1149</v>
      </c>
      <c r="D7" s="13">
        <v>15</v>
      </c>
      <c r="E7" s="13" t="s">
        <v>880</v>
      </c>
      <c r="F7" s="13">
        <v>250</v>
      </c>
      <c r="G7" s="13" t="s">
        <v>118</v>
      </c>
      <c r="H7" s="13" t="s">
        <v>602</v>
      </c>
      <c r="I7" s="18" t="s">
        <v>971</v>
      </c>
      <c r="J7" s="18" t="s">
        <v>972</v>
      </c>
      <c r="K7" s="18" t="s">
        <v>242</v>
      </c>
      <c r="L7" s="18" t="s">
        <v>253</v>
      </c>
      <c r="M7" s="18" t="s">
        <v>584</v>
      </c>
      <c r="N7" s="18" t="s">
        <v>585</v>
      </c>
    </row>
    <row r="8" spans="1:14" x14ac:dyDescent="0.35">
      <c r="A8" s="13" t="s">
        <v>1165</v>
      </c>
      <c r="B8" s="13" t="s">
        <v>568</v>
      </c>
      <c r="C8" s="15" t="s">
        <v>1166</v>
      </c>
      <c r="D8" s="13">
        <v>137</v>
      </c>
      <c r="E8" s="13" t="s">
        <v>1167</v>
      </c>
      <c r="F8" s="13">
        <v>20</v>
      </c>
      <c r="G8" s="13" t="s">
        <v>25</v>
      </c>
      <c r="H8" s="13" t="s">
        <v>606</v>
      </c>
      <c r="I8" s="18" t="s">
        <v>26</v>
      </c>
      <c r="J8" s="18" t="s">
        <v>607</v>
      </c>
      <c r="K8" s="18" t="s">
        <v>253</v>
      </c>
      <c r="L8" s="18" t="s">
        <v>253</v>
      </c>
      <c r="M8" s="18" t="s">
        <v>592</v>
      </c>
      <c r="N8" s="18" t="s">
        <v>852</v>
      </c>
    </row>
    <row r="9" spans="1:14" x14ac:dyDescent="0.35">
      <c r="A9" s="13" t="s">
        <v>1150</v>
      </c>
      <c r="B9" s="13" t="s">
        <v>1074</v>
      </c>
      <c r="C9" s="15" t="s">
        <v>1151</v>
      </c>
      <c r="D9" s="13">
        <v>486</v>
      </c>
      <c r="E9" s="13" t="s">
        <v>73</v>
      </c>
      <c r="F9" s="13">
        <v>770</v>
      </c>
      <c r="G9" s="13" t="s">
        <v>25</v>
      </c>
      <c r="H9" s="13" t="s">
        <v>606</v>
      </c>
      <c r="I9" s="18" t="s">
        <v>26</v>
      </c>
      <c r="J9" s="18" t="s">
        <v>607</v>
      </c>
      <c r="K9" s="18" t="s">
        <v>253</v>
      </c>
      <c r="L9" s="18" t="s">
        <v>253</v>
      </c>
      <c r="M9" s="18" t="s">
        <v>587</v>
      </c>
      <c r="N9" s="18" t="s">
        <v>857</v>
      </c>
    </row>
    <row r="10" spans="1:14" x14ac:dyDescent="0.35">
      <c r="A10" s="13" t="s">
        <v>325</v>
      </c>
      <c r="B10" s="13" t="s">
        <v>568</v>
      </c>
      <c r="C10" s="15" t="s">
        <v>1136</v>
      </c>
      <c r="D10" s="13">
        <v>294</v>
      </c>
      <c r="E10" s="13" t="s">
        <v>292</v>
      </c>
      <c r="F10" s="13">
        <v>345</v>
      </c>
      <c r="G10" s="13" t="s">
        <v>1137</v>
      </c>
      <c r="H10" s="13" t="s">
        <v>1138</v>
      </c>
      <c r="I10" s="18" t="s">
        <v>1139</v>
      </c>
      <c r="J10" s="18" t="s">
        <v>1140</v>
      </c>
      <c r="K10" s="18" t="s">
        <v>242</v>
      </c>
      <c r="L10" s="18" t="s">
        <v>253</v>
      </c>
      <c r="M10" s="18" t="s">
        <v>588</v>
      </c>
      <c r="N10" s="18" t="s">
        <v>1047</v>
      </c>
    </row>
    <row r="11" spans="1:14" x14ac:dyDescent="0.35">
      <c r="A11" s="13" t="s">
        <v>328</v>
      </c>
      <c r="B11" s="13" t="s">
        <v>568</v>
      </c>
      <c r="C11" s="15" t="s">
        <v>1145</v>
      </c>
      <c r="D11" s="13">
        <v>74</v>
      </c>
      <c r="E11" s="13" t="s">
        <v>1119</v>
      </c>
      <c r="F11" s="13">
        <v>354</v>
      </c>
      <c r="G11" s="13" t="s">
        <v>103</v>
      </c>
      <c r="H11" s="13" t="s">
        <v>612</v>
      </c>
      <c r="I11" s="18" t="s">
        <v>884</v>
      </c>
      <c r="J11" s="18" t="s">
        <v>885</v>
      </c>
      <c r="K11" s="18" t="s">
        <v>242</v>
      </c>
      <c r="L11" s="18" t="s">
        <v>253</v>
      </c>
      <c r="M11" s="18" t="s">
        <v>627</v>
      </c>
      <c r="N11" s="18" t="s">
        <v>591</v>
      </c>
    </row>
    <row r="12" spans="1:14" x14ac:dyDescent="0.35">
      <c r="A12" s="13" t="s">
        <v>1126</v>
      </c>
      <c r="B12" s="13" t="s">
        <v>568</v>
      </c>
      <c r="C12" s="15" t="s">
        <v>1152</v>
      </c>
      <c r="D12" s="13">
        <v>30</v>
      </c>
      <c r="E12" s="13" t="s">
        <v>1128</v>
      </c>
      <c r="F12" s="13">
        <v>347</v>
      </c>
      <c r="G12" s="13" t="s">
        <v>103</v>
      </c>
      <c r="H12" s="13" t="s">
        <v>612</v>
      </c>
      <c r="I12" s="18" t="s">
        <v>884</v>
      </c>
      <c r="J12" s="18" t="s">
        <v>885</v>
      </c>
      <c r="K12" s="18" t="s">
        <v>253</v>
      </c>
      <c r="L12" s="18" t="s">
        <v>253</v>
      </c>
      <c r="M12" s="18" t="s">
        <v>582</v>
      </c>
      <c r="N12" s="18" t="s">
        <v>586</v>
      </c>
    </row>
    <row r="13" spans="1:14" x14ac:dyDescent="0.35">
      <c r="A13" s="13" t="s">
        <v>1153</v>
      </c>
      <c r="B13" s="13" t="s">
        <v>1074</v>
      </c>
      <c r="C13" s="15" t="s">
        <v>1154</v>
      </c>
      <c r="D13" s="13">
        <v>770</v>
      </c>
      <c r="E13" s="13" t="s">
        <v>1054</v>
      </c>
      <c r="F13" s="13">
        <v>400</v>
      </c>
      <c r="G13" s="13" t="s">
        <v>25</v>
      </c>
      <c r="H13" s="13" t="s">
        <v>606</v>
      </c>
      <c r="I13" s="18" t="s">
        <v>26</v>
      </c>
      <c r="J13" s="18" t="s">
        <v>607</v>
      </c>
      <c r="K13" s="18" t="s">
        <v>253</v>
      </c>
      <c r="L13" s="18" t="s">
        <v>253</v>
      </c>
      <c r="M13" s="18" t="s">
        <v>587</v>
      </c>
      <c r="N13" s="18" t="s">
        <v>857</v>
      </c>
    </row>
    <row r="14" spans="1:14" x14ac:dyDescent="0.35">
      <c r="A14" s="13" t="s">
        <v>1141</v>
      </c>
      <c r="B14" s="13" t="s">
        <v>568</v>
      </c>
      <c r="C14" s="15" t="s">
        <v>1142</v>
      </c>
      <c r="D14" s="13">
        <v>346</v>
      </c>
      <c r="E14" s="13" t="s">
        <v>74</v>
      </c>
      <c r="F14" s="13">
        <v>284</v>
      </c>
      <c r="G14" s="13" t="s">
        <v>118</v>
      </c>
      <c r="H14" s="13" t="s">
        <v>602</v>
      </c>
      <c r="I14" s="18" t="s">
        <v>379</v>
      </c>
      <c r="J14" s="18" t="s">
        <v>712</v>
      </c>
      <c r="K14" s="18" t="s">
        <v>253</v>
      </c>
      <c r="L14" s="18" t="s">
        <v>242</v>
      </c>
      <c r="M14" s="18" t="s">
        <v>584</v>
      </c>
      <c r="N14" s="18" t="s">
        <v>591</v>
      </c>
    </row>
    <row r="15" spans="1:14" x14ac:dyDescent="0.35">
      <c r="A15" s="13" t="s">
        <v>1134</v>
      </c>
      <c r="B15" s="13" t="s">
        <v>963</v>
      </c>
      <c r="C15" s="15" t="s">
        <v>1135</v>
      </c>
      <c r="D15" s="13">
        <v>346</v>
      </c>
      <c r="E15" s="13" t="s">
        <v>74</v>
      </c>
      <c r="F15" s="13">
        <v>284</v>
      </c>
      <c r="G15" s="13" t="s">
        <v>118</v>
      </c>
      <c r="H15" s="13" t="s">
        <v>602</v>
      </c>
      <c r="I15" s="18" t="s">
        <v>379</v>
      </c>
      <c r="J15" s="18" t="s">
        <v>712</v>
      </c>
      <c r="K15" s="18" t="s">
        <v>242</v>
      </c>
      <c r="L15" s="18" t="s">
        <v>242</v>
      </c>
      <c r="M15" s="18" t="s">
        <v>584</v>
      </c>
      <c r="N15" s="18" t="s">
        <v>585</v>
      </c>
    </row>
    <row r="16" spans="1:14" x14ac:dyDescent="0.35">
      <c r="A16" s="13" t="s">
        <v>1159</v>
      </c>
      <c r="B16" s="13" t="s">
        <v>568</v>
      </c>
      <c r="C16" s="15" t="s">
        <v>1160</v>
      </c>
      <c r="D16" s="13">
        <v>506</v>
      </c>
      <c r="E16" s="13" t="s">
        <v>123</v>
      </c>
      <c r="F16" s="13">
        <v>937</v>
      </c>
      <c r="G16" s="13" t="s">
        <v>118</v>
      </c>
      <c r="H16" s="13" t="s">
        <v>602</v>
      </c>
      <c r="I16" s="18" t="s">
        <v>379</v>
      </c>
      <c r="J16" s="18" t="s">
        <v>712</v>
      </c>
      <c r="K16" s="18" t="s">
        <v>242</v>
      </c>
      <c r="L16" s="18" t="s">
        <v>253</v>
      </c>
      <c r="M16" s="18" t="s">
        <v>581</v>
      </c>
      <c r="N16" s="18" t="s">
        <v>852</v>
      </c>
    </row>
    <row r="17" spans="1:14" x14ac:dyDescent="0.35">
      <c r="A17" s="18"/>
      <c r="B17" s="18"/>
      <c r="C17" s="19"/>
      <c r="D17" s="18"/>
      <c r="E17" s="18"/>
      <c r="F17" s="18"/>
      <c r="G17" s="18"/>
      <c r="H17" s="18"/>
      <c r="I17" s="18"/>
      <c r="J17" s="18"/>
      <c r="K17" s="18"/>
      <c r="L17" s="18"/>
      <c r="M17" s="18"/>
      <c r="N17" s="18"/>
    </row>
  </sheetData>
  <autoFilter ref="A1:N31" xr:uid="{69628F83-05B9-478F-9B99-DDA982142305}">
    <sortState xmlns:xlrd2="http://schemas.microsoft.com/office/spreadsheetml/2017/richdata2" ref="A2:N31">
      <sortCondition ref="A1:A31"/>
    </sortState>
  </autoFilter>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E9D2EC-E6E2-461D-9BF7-606344734E53}">
  <dimension ref="A1:N21"/>
  <sheetViews>
    <sheetView workbookViewId="0">
      <selection activeCell="C17" sqref="C17"/>
    </sheetView>
  </sheetViews>
  <sheetFormatPr defaultRowHeight="15.5" x14ac:dyDescent="0.35"/>
  <cols>
    <col min="1" max="1" width="37.6328125" style="16" bestFit="1" customWidth="1"/>
    <col min="2" max="2" width="16.7265625" style="16" bestFit="1" customWidth="1"/>
    <col min="3" max="3" width="155.453125" style="17" bestFit="1" customWidth="1"/>
    <col min="4" max="4" width="12.54296875" style="16" bestFit="1" customWidth="1"/>
    <col min="5" max="5" width="48.26953125" style="16" bestFit="1" customWidth="1"/>
    <col min="6" max="6" width="10.26953125" style="16" bestFit="1" customWidth="1"/>
    <col min="7" max="7" width="18.08984375" style="16" bestFit="1" customWidth="1"/>
    <col min="8" max="8" width="26.90625" style="16" bestFit="1" customWidth="1"/>
    <col min="9" max="9" width="24.90625" style="16" bestFit="1" customWidth="1"/>
    <col min="10" max="10" width="34.90625" style="16" bestFit="1" customWidth="1"/>
    <col min="11" max="11" width="11.6328125" style="16" bestFit="1" customWidth="1"/>
    <col min="12" max="12" width="14.36328125" style="16" bestFit="1" customWidth="1"/>
    <col min="13" max="13" width="36.453125" style="16" bestFit="1" customWidth="1"/>
    <col min="14" max="14" width="39.453125" style="16" bestFit="1" customWidth="1"/>
    <col min="15" max="16384" width="8.7265625" style="16"/>
  </cols>
  <sheetData>
    <row r="1" spans="1:14" x14ac:dyDescent="0.35">
      <c r="A1" s="6" t="s">
        <v>0</v>
      </c>
      <c r="B1" s="6" t="s">
        <v>567</v>
      </c>
      <c r="C1" s="14" t="s">
        <v>2</v>
      </c>
      <c r="D1" s="6" t="s">
        <v>3</v>
      </c>
      <c r="E1" s="6" t="s">
        <v>4</v>
      </c>
      <c r="F1" s="6" t="s">
        <v>5</v>
      </c>
      <c r="G1" s="6" t="s">
        <v>6</v>
      </c>
      <c r="H1" s="6" t="s">
        <v>598</v>
      </c>
      <c r="I1" s="9" t="s">
        <v>7</v>
      </c>
      <c r="J1" s="9" t="s">
        <v>599</v>
      </c>
      <c r="K1" s="8" t="s">
        <v>240</v>
      </c>
      <c r="L1" s="8" t="s">
        <v>241</v>
      </c>
      <c r="M1" s="8" t="s">
        <v>579</v>
      </c>
      <c r="N1" s="8" t="s">
        <v>580</v>
      </c>
    </row>
    <row r="2" spans="1:14" x14ac:dyDescent="0.35">
      <c r="A2" s="13" t="s">
        <v>1096</v>
      </c>
      <c r="B2" s="13" t="s">
        <v>568</v>
      </c>
      <c r="C2" s="15" t="s">
        <v>1097</v>
      </c>
      <c r="D2" s="13">
        <v>506</v>
      </c>
      <c r="E2" s="13" t="s">
        <v>123</v>
      </c>
      <c r="F2" s="13">
        <v>937</v>
      </c>
      <c r="G2" s="13" t="s">
        <v>118</v>
      </c>
      <c r="H2" s="13" t="s">
        <v>602</v>
      </c>
      <c r="I2" s="18" t="s">
        <v>379</v>
      </c>
      <c r="J2" s="18" t="s">
        <v>712</v>
      </c>
      <c r="K2" s="18" t="s">
        <v>242</v>
      </c>
      <c r="L2" s="18" t="s">
        <v>253</v>
      </c>
      <c r="M2" s="18" t="s">
        <v>581</v>
      </c>
      <c r="N2" s="18" t="s">
        <v>852</v>
      </c>
    </row>
    <row r="3" spans="1:14" x14ac:dyDescent="0.35">
      <c r="A3" s="13" t="s">
        <v>1073</v>
      </c>
      <c r="B3" s="13" t="s">
        <v>1074</v>
      </c>
      <c r="C3" s="15" t="s">
        <v>1075</v>
      </c>
      <c r="D3" s="13">
        <v>645</v>
      </c>
      <c r="E3" s="13" t="s">
        <v>874</v>
      </c>
      <c r="F3" s="13">
        <v>770</v>
      </c>
      <c r="G3" s="13" t="s">
        <v>25</v>
      </c>
      <c r="H3" s="13" t="s">
        <v>606</v>
      </c>
      <c r="I3" s="18" t="s">
        <v>26</v>
      </c>
      <c r="J3" s="18" t="s">
        <v>607</v>
      </c>
      <c r="K3" s="18" t="s">
        <v>253</v>
      </c>
      <c r="L3" s="18" t="s">
        <v>253</v>
      </c>
      <c r="M3" s="18" t="s">
        <v>587</v>
      </c>
      <c r="N3" s="18" t="s">
        <v>857</v>
      </c>
    </row>
    <row r="4" spans="1:14" x14ac:dyDescent="0.35">
      <c r="A4" s="13" t="s">
        <v>1085</v>
      </c>
      <c r="B4" s="13" t="s">
        <v>963</v>
      </c>
      <c r="C4" s="15" t="s">
        <v>1086</v>
      </c>
      <c r="D4" s="13">
        <v>73</v>
      </c>
      <c r="E4" s="13" t="s">
        <v>29</v>
      </c>
      <c r="F4" s="13">
        <v>345</v>
      </c>
      <c r="G4" s="13" t="s">
        <v>103</v>
      </c>
      <c r="H4" s="13" t="s">
        <v>612</v>
      </c>
      <c r="I4" s="18" t="s">
        <v>534</v>
      </c>
      <c r="J4" s="18" t="s">
        <v>930</v>
      </c>
      <c r="K4" s="18" t="s">
        <v>253</v>
      </c>
      <c r="L4" s="18" t="s">
        <v>253</v>
      </c>
      <c r="M4" s="18" t="s">
        <v>588</v>
      </c>
      <c r="N4" s="18" t="s">
        <v>591</v>
      </c>
    </row>
    <row r="5" spans="1:14" x14ac:dyDescent="0.35">
      <c r="A5" s="13" t="s">
        <v>617</v>
      </c>
      <c r="B5" s="13" t="s">
        <v>963</v>
      </c>
      <c r="C5" s="15" t="s">
        <v>1090</v>
      </c>
      <c r="D5" s="13">
        <v>346</v>
      </c>
      <c r="E5" s="13" t="s">
        <v>74</v>
      </c>
      <c r="F5" s="13">
        <v>798</v>
      </c>
      <c r="G5" s="13" t="s">
        <v>118</v>
      </c>
      <c r="H5" s="13" t="s">
        <v>602</v>
      </c>
      <c r="I5" s="18" t="s">
        <v>971</v>
      </c>
      <c r="J5" s="18" t="s">
        <v>972</v>
      </c>
      <c r="K5" s="18" t="s">
        <v>242</v>
      </c>
      <c r="L5" s="18" t="s">
        <v>253</v>
      </c>
      <c r="M5" s="18" t="s">
        <v>584</v>
      </c>
      <c r="N5" s="18" t="s">
        <v>852</v>
      </c>
    </row>
    <row r="6" spans="1:14" x14ac:dyDescent="0.35">
      <c r="A6" s="13" t="s">
        <v>1083</v>
      </c>
      <c r="B6" s="13" t="s">
        <v>568</v>
      </c>
      <c r="C6" s="15" t="s">
        <v>1084</v>
      </c>
      <c r="D6" s="13">
        <v>595</v>
      </c>
      <c r="E6" s="13" t="s">
        <v>239</v>
      </c>
      <c r="F6" s="13">
        <v>400</v>
      </c>
      <c r="G6" s="13" t="s">
        <v>25</v>
      </c>
      <c r="H6" s="13" t="s">
        <v>606</v>
      </c>
      <c r="I6" s="18" t="s">
        <v>26</v>
      </c>
      <c r="J6" s="18" t="s">
        <v>1281</v>
      </c>
      <c r="K6" s="18" t="s">
        <v>253</v>
      </c>
      <c r="L6" s="18" t="s">
        <v>253</v>
      </c>
      <c r="M6" s="18" t="s">
        <v>587</v>
      </c>
      <c r="N6" s="18" t="s">
        <v>857</v>
      </c>
    </row>
    <row r="7" spans="1:14" x14ac:dyDescent="0.35">
      <c r="A7" s="13" t="s">
        <v>1081</v>
      </c>
      <c r="B7" s="13" t="s">
        <v>963</v>
      </c>
      <c r="C7" s="15" t="s">
        <v>1082</v>
      </c>
      <c r="D7" s="13">
        <v>506</v>
      </c>
      <c r="E7" s="13" t="s">
        <v>123</v>
      </c>
      <c r="F7" s="13">
        <v>829</v>
      </c>
      <c r="G7" s="13" t="s">
        <v>118</v>
      </c>
      <c r="H7" s="13" t="s">
        <v>602</v>
      </c>
      <c r="I7" s="18" t="s">
        <v>971</v>
      </c>
      <c r="J7" s="18" t="s">
        <v>972</v>
      </c>
      <c r="K7" s="18" t="s">
        <v>242</v>
      </c>
      <c r="L7" s="18" t="s">
        <v>253</v>
      </c>
      <c r="M7" s="18" t="s">
        <v>581</v>
      </c>
      <c r="N7" s="18" t="s">
        <v>852</v>
      </c>
    </row>
    <row r="8" spans="1:14" x14ac:dyDescent="0.35">
      <c r="A8" s="13" t="s">
        <v>1094</v>
      </c>
      <c r="B8" s="13" t="s">
        <v>573</v>
      </c>
      <c r="C8" s="15" t="s">
        <v>1095</v>
      </c>
      <c r="D8" s="13">
        <v>94</v>
      </c>
      <c r="E8" s="13" t="s">
        <v>57</v>
      </c>
      <c r="F8" s="13">
        <v>319</v>
      </c>
      <c r="G8" s="13" t="s">
        <v>103</v>
      </c>
      <c r="H8" s="13" t="s">
        <v>612</v>
      </c>
      <c r="I8" s="18" t="s">
        <v>884</v>
      </c>
      <c r="J8" s="18" t="s">
        <v>885</v>
      </c>
      <c r="K8" s="18" t="s">
        <v>242</v>
      </c>
      <c r="L8" s="18" t="s">
        <v>242</v>
      </c>
      <c r="M8" s="18" t="s">
        <v>588</v>
      </c>
      <c r="N8" s="18" t="s">
        <v>1047</v>
      </c>
    </row>
    <row r="9" spans="1:14" x14ac:dyDescent="0.35">
      <c r="A9" s="13" t="s">
        <v>1101</v>
      </c>
      <c r="B9" s="13" t="s">
        <v>963</v>
      </c>
      <c r="C9" s="15" t="s">
        <v>1102</v>
      </c>
      <c r="D9" s="13">
        <v>15</v>
      </c>
      <c r="E9" s="13" t="s">
        <v>880</v>
      </c>
      <c r="F9" s="13">
        <v>250</v>
      </c>
      <c r="G9" s="13" t="s">
        <v>118</v>
      </c>
      <c r="H9" s="13" t="s">
        <v>602</v>
      </c>
      <c r="I9" s="18" t="s">
        <v>971</v>
      </c>
      <c r="J9" s="18" t="s">
        <v>972</v>
      </c>
      <c r="K9" s="18" t="s">
        <v>253</v>
      </c>
      <c r="L9" s="18" t="s">
        <v>253</v>
      </c>
      <c r="M9" s="18" t="s">
        <v>584</v>
      </c>
      <c r="N9" s="18" t="s">
        <v>585</v>
      </c>
    </row>
    <row r="10" spans="1:14" x14ac:dyDescent="0.35">
      <c r="A10" s="13" t="s">
        <v>1078</v>
      </c>
      <c r="B10" s="13" t="s">
        <v>963</v>
      </c>
      <c r="C10" s="15" t="s">
        <v>1079</v>
      </c>
      <c r="D10" s="13">
        <v>488</v>
      </c>
      <c r="E10" s="13" t="s">
        <v>1080</v>
      </c>
      <c r="F10" s="13">
        <v>400</v>
      </c>
      <c r="G10" s="13" t="s">
        <v>25</v>
      </c>
      <c r="H10" s="13" t="s">
        <v>606</v>
      </c>
      <c r="I10" s="18" t="s">
        <v>26</v>
      </c>
      <c r="J10" s="18" t="s">
        <v>607</v>
      </c>
      <c r="K10" s="18" t="s">
        <v>253</v>
      </c>
      <c r="L10" s="18" t="s">
        <v>253</v>
      </c>
      <c r="M10" s="18" t="s">
        <v>627</v>
      </c>
      <c r="N10" s="18" t="s">
        <v>586</v>
      </c>
    </row>
    <row r="11" spans="1:14" x14ac:dyDescent="0.35">
      <c r="A11" s="13" t="s">
        <v>1069</v>
      </c>
      <c r="B11" s="13" t="s">
        <v>573</v>
      </c>
      <c r="C11" s="15" t="s">
        <v>1070</v>
      </c>
      <c r="D11" s="13">
        <v>94</v>
      </c>
      <c r="E11" s="13" t="s">
        <v>57</v>
      </c>
      <c r="F11" s="13">
        <v>319</v>
      </c>
      <c r="G11" s="13" t="s">
        <v>103</v>
      </c>
      <c r="H11" s="13" t="s">
        <v>612</v>
      </c>
      <c r="I11" s="18" t="s">
        <v>884</v>
      </c>
      <c r="J11" s="18" t="s">
        <v>885</v>
      </c>
      <c r="K11" s="18" t="s">
        <v>242</v>
      </c>
      <c r="L11" s="18" t="s">
        <v>242</v>
      </c>
      <c r="M11" s="18" t="s">
        <v>588</v>
      </c>
      <c r="N11" s="18" t="s">
        <v>1047</v>
      </c>
    </row>
    <row r="12" spans="1:14" x14ac:dyDescent="0.35">
      <c r="A12" s="13" t="s">
        <v>1087</v>
      </c>
      <c r="B12" s="13" t="s">
        <v>963</v>
      </c>
      <c r="C12" s="15" t="s">
        <v>1088</v>
      </c>
      <c r="D12" s="13">
        <v>511</v>
      </c>
      <c r="E12" s="13" t="s">
        <v>1089</v>
      </c>
      <c r="F12" s="13">
        <v>937</v>
      </c>
      <c r="G12" s="13" t="s">
        <v>118</v>
      </c>
      <c r="H12" s="13" t="s">
        <v>602</v>
      </c>
      <c r="I12" s="18" t="s">
        <v>379</v>
      </c>
      <c r="J12" s="18" t="s">
        <v>712</v>
      </c>
      <c r="K12" s="18" t="s">
        <v>242</v>
      </c>
      <c r="L12" s="18" t="s">
        <v>253</v>
      </c>
      <c r="M12" s="18" t="s">
        <v>581</v>
      </c>
      <c r="N12" s="18" t="s">
        <v>586</v>
      </c>
    </row>
    <row r="13" spans="1:14" x14ac:dyDescent="0.35">
      <c r="A13" s="13" t="s">
        <v>1092</v>
      </c>
      <c r="B13" s="13" t="s">
        <v>1074</v>
      </c>
      <c r="C13" s="15" t="s">
        <v>1093</v>
      </c>
      <c r="D13" s="13">
        <v>486</v>
      </c>
      <c r="E13" s="13" t="s">
        <v>73</v>
      </c>
      <c r="F13" s="13">
        <v>400</v>
      </c>
      <c r="G13" s="13" t="s">
        <v>25</v>
      </c>
      <c r="H13" s="13" t="s">
        <v>606</v>
      </c>
      <c r="I13" s="18" t="s">
        <v>26</v>
      </c>
      <c r="J13" s="18" t="s">
        <v>607</v>
      </c>
      <c r="K13" s="18" t="s">
        <v>253</v>
      </c>
      <c r="L13" s="18" t="s">
        <v>253</v>
      </c>
      <c r="M13" s="18" t="s">
        <v>588</v>
      </c>
      <c r="N13" s="18" t="s">
        <v>591</v>
      </c>
    </row>
    <row r="14" spans="1:14" x14ac:dyDescent="0.35">
      <c r="A14" s="13" t="s">
        <v>1099</v>
      </c>
      <c r="B14" s="13" t="s">
        <v>963</v>
      </c>
      <c r="C14" s="15" t="s">
        <v>1100</v>
      </c>
      <c r="D14" s="13">
        <v>73</v>
      </c>
      <c r="E14" s="13" t="s">
        <v>29</v>
      </c>
      <c r="F14" s="13">
        <v>770</v>
      </c>
      <c r="G14" s="13" t="s">
        <v>25</v>
      </c>
      <c r="H14" s="13" t="s">
        <v>606</v>
      </c>
      <c r="I14" s="18" t="s">
        <v>26</v>
      </c>
      <c r="J14" s="18" t="s">
        <v>607</v>
      </c>
      <c r="K14" s="18" t="s">
        <v>253</v>
      </c>
      <c r="L14" s="18" t="s">
        <v>253</v>
      </c>
      <c r="M14" s="18" t="s">
        <v>588</v>
      </c>
      <c r="N14" s="18" t="s">
        <v>591</v>
      </c>
    </row>
    <row r="15" spans="1:14" x14ac:dyDescent="0.35">
      <c r="A15" s="13" t="s">
        <v>267</v>
      </c>
      <c r="B15" s="13" t="s">
        <v>1074</v>
      </c>
      <c r="C15" s="15" t="s">
        <v>1091</v>
      </c>
      <c r="D15" s="13">
        <v>770</v>
      </c>
      <c r="E15" s="13" t="s">
        <v>1054</v>
      </c>
      <c r="F15" s="13">
        <v>400</v>
      </c>
      <c r="G15" s="13" t="s">
        <v>25</v>
      </c>
      <c r="H15" s="13" t="s">
        <v>606</v>
      </c>
      <c r="I15" s="18" t="s">
        <v>26</v>
      </c>
      <c r="J15" s="18" t="s">
        <v>607</v>
      </c>
      <c r="K15" s="18" t="s">
        <v>253</v>
      </c>
      <c r="L15" s="18" t="s">
        <v>253</v>
      </c>
      <c r="M15" s="18" t="s">
        <v>587</v>
      </c>
      <c r="N15" s="18" t="s">
        <v>857</v>
      </c>
    </row>
    <row r="16" spans="1:14" x14ac:dyDescent="0.35">
      <c r="A16" s="13" t="s">
        <v>1076</v>
      </c>
      <c r="B16" s="13" t="s">
        <v>963</v>
      </c>
      <c r="C16" s="15" t="s">
        <v>1077</v>
      </c>
      <c r="D16" s="13">
        <v>15</v>
      </c>
      <c r="E16" s="13" t="s">
        <v>880</v>
      </c>
      <c r="F16" s="13">
        <v>285</v>
      </c>
      <c r="G16" s="13" t="s">
        <v>118</v>
      </c>
      <c r="H16" s="13" t="s">
        <v>602</v>
      </c>
      <c r="I16" s="18" t="s">
        <v>379</v>
      </c>
      <c r="J16" s="18" t="s">
        <v>712</v>
      </c>
      <c r="K16" s="18" t="s">
        <v>253</v>
      </c>
      <c r="L16" s="18" t="s">
        <v>253</v>
      </c>
      <c r="M16" s="18" t="s">
        <v>584</v>
      </c>
      <c r="N16" s="18" t="s">
        <v>585</v>
      </c>
    </row>
    <row r="17" spans="1:14" x14ac:dyDescent="0.35">
      <c r="A17" s="18" t="s">
        <v>1103</v>
      </c>
      <c r="B17" s="18" t="s">
        <v>568</v>
      </c>
      <c r="C17" s="19" t="s">
        <v>1104</v>
      </c>
      <c r="D17" s="18">
        <v>346</v>
      </c>
      <c r="E17" s="18" t="s">
        <v>74</v>
      </c>
      <c r="F17" s="18">
        <v>285</v>
      </c>
      <c r="G17" s="18" t="s">
        <v>118</v>
      </c>
      <c r="H17" s="18" t="s">
        <v>602</v>
      </c>
      <c r="I17" s="18" t="s">
        <v>379</v>
      </c>
      <c r="J17" s="18" t="s">
        <v>712</v>
      </c>
      <c r="K17" s="18" t="s">
        <v>253</v>
      </c>
      <c r="L17" s="18" t="s">
        <v>253</v>
      </c>
      <c r="M17" s="18" t="s">
        <v>584</v>
      </c>
      <c r="N17" s="18" t="s">
        <v>585</v>
      </c>
    </row>
    <row r="18" spans="1:14" x14ac:dyDescent="0.35">
      <c r="A18" s="16" t="s">
        <v>1071</v>
      </c>
      <c r="B18" s="16" t="s">
        <v>963</v>
      </c>
      <c r="C18" s="17" t="s">
        <v>1072</v>
      </c>
      <c r="D18" s="16">
        <v>346</v>
      </c>
      <c r="E18" s="16" t="s">
        <v>74</v>
      </c>
      <c r="F18" s="16">
        <v>306</v>
      </c>
      <c r="G18" s="16" t="s">
        <v>118</v>
      </c>
      <c r="H18" s="16" t="s">
        <v>602</v>
      </c>
      <c r="I18" s="16" t="s">
        <v>379</v>
      </c>
      <c r="J18" s="16" t="s">
        <v>712</v>
      </c>
      <c r="K18" s="16" t="s">
        <v>253</v>
      </c>
      <c r="L18" s="16" t="s">
        <v>242</v>
      </c>
      <c r="M18" s="16" t="s">
        <v>584</v>
      </c>
      <c r="N18" s="16" t="s">
        <v>585</v>
      </c>
    </row>
    <row r="19" spans="1:14" x14ac:dyDescent="0.35">
      <c r="A19" s="16" t="s">
        <v>1065</v>
      </c>
      <c r="B19" s="16" t="s">
        <v>963</v>
      </c>
      <c r="C19" s="17" t="s">
        <v>1066</v>
      </c>
      <c r="D19" s="16">
        <v>346</v>
      </c>
      <c r="E19" s="16" t="s">
        <v>74</v>
      </c>
      <c r="F19" s="16">
        <v>287</v>
      </c>
      <c r="G19" s="16" t="s">
        <v>118</v>
      </c>
      <c r="H19" s="16" t="s">
        <v>602</v>
      </c>
      <c r="I19" s="16" t="s">
        <v>379</v>
      </c>
      <c r="J19" s="16" t="s">
        <v>712</v>
      </c>
      <c r="K19" s="16" t="s">
        <v>242</v>
      </c>
      <c r="L19" s="16" t="s">
        <v>242</v>
      </c>
      <c r="M19" s="16" t="s">
        <v>584</v>
      </c>
      <c r="N19" s="16" t="s">
        <v>585</v>
      </c>
    </row>
    <row r="20" spans="1:14" x14ac:dyDescent="0.35">
      <c r="A20" s="16" t="s">
        <v>225</v>
      </c>
      <c r="B20" s="16" t="s">
        <v>1074</v>
      </c>
      <c r="C20" s="17" t="s">
        <v>1098</v>
      </c>
      <c r="D20" s="16">
        <v>645</v>
      </c>
      <c r="E20" s="16" t="s">
        <v>874</v>
      </c>
      <c r="F20" s="16">
        <v>400</v>
      </c>
      <c r="G20" s="16" t="s">
        <v>25</v>
      </c>
      <c r="H20" s="16" t="s">
        <v>606</v>
      </c>
      <c r="I20" s="16" t="s">
        <v>26</v>
      </c>
      <c r="J20" s="16" t="s">
        <v>607</v>
      </c>
      <c r="K20" s="16" t="s">
        <v>253</v>
      </c>
      <c r="L20" s="16" t="s">
        <v>253</v>
      </c>
      <c r="M20" s="16" t="s">
        <v>587</v>
      </c>
      <c r="N20" s="16" t="s">
        <v>857</v>
      </c>
    </row>
    <row r="21" spans="1:14" x14ac:dyDescent="0.35">
      <c r="A21" s="16" t="s">
        <v>1067</v>
      </c>
      <c r="B21" s="16" t="s">
        <v>963</v>
      </c>
      <c r="C21" s="17" t="s">
        <v>1068</v>
      </c>
      <c r="D21" s="16">
        <v>15</v>
      </c>
      <c r="E21" s="16" t="s">
        <v>880</v>
      </c>
      <c r="F21" s="16">
        <v>287</v>
      </c>
      <c r="G21" s="16" t="s">
        <v>118</v>
      </c>
      <c r="H21" s="16" t="s">
        <v>602</v>
      </c>
      <c r="I21" s="16" t="s">
        <v>971</v>
      </c>
      <c r="J21" s="16" t="s">
        <v>972</v>
      </c>
      <c r="K21" s="16" t="s">
        <v>242</v>
      </c>
      <c r="L21" s="16" t="s">
        <v>242</v>
      </c>
      <c r="M21" s="16" t="s">
        <v>584</v>
      </c>
      <c r="N21" s="16" t="s">
        <v>585</v>
      </c>
    </row>
  </sheetData>
  <autoFilter ref="A1:N42" xr:uid="{B3E9D2EC-E6E2-461D-9BF7-606344734E53}">
    <sortState xmlns:xlrd2="http://schemas.microsoft.com/office/spreadsheetml/2017/richdata2" ref="A2:N42">
      <sortCondition ref="A1:A42"/>
    </sortState>
  </autoFilter>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23715-F01F-448D-B161-D422345FD7FE}">
  <dimension ref="A1:N17"/>
  <sheetViews>
    <sheetView topLeftCell="C1" workbookViewId="0">
      <selection activeCell="C17" sqref="C17"/>
    </sheetView>
  </sheetViews>
  <sheetFormatPr defaultRowHeight="15.5" x14ac:dyDescent="0.35"/>
  <cols>
    <col min="1" max="1" width="36.36328125" style="16" bestFit="1" customWidth="1"/>
    <col min="2" max="2" width="35.6328125" style="16" bestFit="1" customWidth="1"/>
    <col min="3" max="3" width="174.6328125" style="17" bestFit="1" customWidth="1"/>
    <col min="4" max="4" width="10.26953125" style="16" bestFit="1" customWidth="1"/>
    <col min="5" max="5" width="42.7265625" style="16" bestFit="1" customWidth="1"/>
    <col min="6" max="6" width="8" style="16" bestFit="1" customWidth="1"/>
    <col min="7" max="7" width="15.81640625" style="16" bestFit="1" customWidth="1"/>
    <col min="8" max="8" width="20" style="16" bestFit="1" customWidth="1"/>
    <col min="9" max="9" width="9.36328125" style="16" bestFit="1" customWidth="1"/>
    <col min="10" max="10" width="12.08984375" style="16" bestFit="1" customWidth="1"/>
    <col min="11" max="16384" width="8.7265625" style="16"/>
  </cols>
  <sheetData>
    <row r="1" spans="1:14" x14ac:dyDescent="0.35">
      <c r="A1" s="6" t="s">
        <v>0</v>
      </c>
      <c r="B1" s="6" t="s">
        <v>1</v>
      </c>
      <c r="C1" s="14" t="s">
        <v>2</v>
      </c>
      <c r="D1" s="6" t="s">
        <v>3</v>
      </c>
      <c r="E1" s="6" t="s">
        <v>4</v>
      </c>
      <c r="F1" s="6" t="s">
        <v>5</v>
      </c>
      <c r="G1" s="6" t="s">
        <v>6</v>
      </c>
      <c r="H1" s="6" t="s">
        <v>7</v>
      </c>
      <c r="I1" s="9" t="s">
        <v>240</v>
      </c>
      <c r="J1" s="9" t="s">
        <v>241</v>
      </c>
      <c r="K1" s="8"/>
      <c r="L1" s="8"/>
      <c r="M1" s="8"/>
      <c r="N1" s="8"/>
    </row>
    <row r="2" spans="1:14" x14ac:dyDescent="0.35">
      <c r="A2" s="13" t="s">
        <v>244</v>
      </c>
      <c r="B2" s="13" t="s">
        <v>363</v>
      </c>
      <c r="C2" s="15" t="s">
        <v>364</v>
      </c>
      <c r="D2" s="13">
        <v>565</v>
      </c>
      <c r="E2" s="13" t="s">
        <v>246</v>
      </c>
      <c r="F2" s="13">
        <v>200</v>
      </c>
      <c r="G2" s="13" t="s">
        <v>38</v>
      </c>
      <c r="H2" s="13" t="s">
        <v>247</v>
      </c>
      <c r="I2" s="18" t="s">
        <v>242</v>
      </c>
      <c r="J2" s="18" t="s">
        <v>243</v>
      </c>
      <c r="K2" s="18"/>
      <c r="L2" s="18"/>
      <c r="M2" s="18"/>
      <c r="N2" s="18"/>
    </row>
    <row r="3" spans="1:14" x14ac:dyDescent="0.35">
      <c r="A3" s="13" t="s">
        <v>365</v>
      </c>
      <c r="B3" s="13" t="s">
        <v>366</v>
      </c>
      <c r="C3" s="15" t="s">
        <v>367</v>
      </c>
      <c r="D3" s="13">
        <v>215</v>
      </c>
      <c r="E3" s="13" t="s">
        <v>70</v>
      </c>
      <c r="F3" s="13">
        <v>250</v>
      </c>
      <c r="G3" s="13" t="s">
        <v>25</v>
      </c>
      <c r="H3" s="13" t="s">
        <v>164</v>
      </c>
      <c r="I3" s="18" t="s">
        <v>242</v>
      </c>
      <c r="J3" s="18" t="s">
        <v>243</v>
      </c>
      <c r="K3" s="18"/>
      <c r="L3" s="18"/>
      <c r="M3" s="18"/>
      <c r="N3" s="18"/>
    </row>
    <row r="4" spans="1:14" x14ac:dyDescent="0.35">
      <c r="A4" s="13" t="s">
        <v>161</v>
      </c>
      <c r="B4" s="13" t="s">
        <v>368</v>
      </c>
      <c r="C4" s="15" t="s">
        <v>369</v>
      </c>
      <c r="D4" s="13">
        <v>95</v>
      </c>
      <c r="E4" s="13" t="s">
        <v>370</v>
      </c>
      <c r="F4" s="13">
        <v>78</v>
      </c>
      <c r="G4" s="13" t="s">
        <v>38</v>
      </c>
      <c r="H4" s="13" t="s">
        <v>371</v>
      </c>
      <c r="I4" s="18" t="s">
        <v>242</v>
      </c>
      <c r="J4" s="18" t="s">
        <v>254</v>
      </c>
      <c r="K4" s="18"/>
      <c r="L4" s="18"/>
      <c r="M4" s="18"/>
      <c r="N4" s="18"/>
    </row>
    <row r="5" spans="1:14" x14ac:dyDescent="0.35">
      <c r="A5" s="13" t="s">
        <v>372</v>
      </c>
      <c r="B5" s="13" t="s">
        <v>373</v>
      </c>
      <c r="C5" s="15" t="s">
        <v>374</v>
      </c>
      <c r="D5" s="13">
        <v>148</v>
      </c>
      <c r="E5" s="13" t="s">
        <v>251</v>
      </c>
      <c r="F5" s="13">
        <v>354</v>
      </c>
      <c r="G5" s="13" t="s">
        <v>130</v>
      </c>
      <c r="H5" s="13" t="s">
        <v>252</v>
      </c>
      <c r="I5" s="18" t="s">
        <v>242</v>
      </c>
      <c r="J5" s="18" t="s">
        <v>243</v>
      </c>
      <c r="K5" s="18"/>
      <c r="L5" s="18"/>
      <c r="M5" s="18"/>
      <c r="N5" s="18"/>
    </row>
    <row r="6" spans="1:14" x14ac:dyDescent="0.35">
      <c r="A6" s="13" t="s">
        <v>236</v>
      </c>
      <c r="B6" s="13" t="s">
        <v>267</v>
      </c>
      <c r="C6" s="15" t="s">
        <v>375</v>
      </c>
      <c r="D6" s="13">
        <v>595</v>
      </c>
      <c r="E6" s="13" t="s">
        <v>239</v>
      </c>
      <c r="F6" s="13">
        <v>400</v>
      </c>
      <c r="G6" s="13" t="s">
        <v>25</v>
      </c>
      <c r="H6" s="13" t="s">
        <v>26</v>
      </c>
      <c r="I6" s="18" t="s">
        <v>253</v>
      </c>
      <c r="J6" s="18" t="s">
        <v>1281</v>
      </c>
      <c r="K6" s="18"/>
      <c r="L6" s="18"/>
      <c r="M6" s="18"/>
      <c r="N6" s="18"/>
    </row>
    <row r="7" spans="1:14" x14ac:dyDescent="0.35">
      <c r="A7" s="13" t="s">
        <v>376</v>
      </c>
      <c r="B7" s="13" t="s">
        <v>377</v>
      </c>
      <c r="C7" s="15" t="s">
        <v>378</v>
      </c>
      <c r="D7" s="13">
        <v>200</v>
      </c>
      <c r="E7" s="13" t="s">
        <v>49</v>
      </c>
      <c r="F7" s="13">
        <v>200</v>
      </c>
      <c r="G7" s="13" t="s">
        <v>25</v>
      </c>
      <c r="H7" s="13" t="s">
        <v>379</v>
      </c>
      <c r="I7" s="18" t="s">
        <v>253</v>
      </c>
      <c r="J7" s="18" t="s">
        <v>254</v>
      </c>
      <c r="K7" s="18"/>
      <c r="L7" s="18"/>
      <c r="M7" s="18"/>
      <c r="N7" s="18"/>
    </row>
    <row r="8" spans="1:14" x14ac:dyDescent="0.35">
      <c r="A8" s="13" t="s">
        <v>380</v>
      </c>
      <c r="B8" s="13" t="s">
        <v>381</v>
      </c>
      <c r="C8" s="15" t="s">
        <v>382</v>
      </c>
      <c r="D8" s="13">
        <v>580</v>
      </c>
      <c r="E8" s="13" t="s">
        <v>275</v>
      </c>
      <c r="F8" s="13" t="s">
        <v>108</v>
      </c>
      <c r="G8" s="13" t="s">
        <v>130</v>
      </c>
      <c r="H8" s="13" t="s">
        <v>276</v>
      </c>
      <c r="I8" s="18" t="s">
        <v>253</v>
      </c>
      <c r="J8" s="18" t="s">
        <v>261</v>
      </c>
      <c r="K8" s="18"/>
      <c r="L8" s="18"/>
      <c r="M8" s="18"/>
      <c r="N8" s="18"/>
    </row>
    <row r="9" spans="1:14" x14ac:dyDescent="0.35">
      <c r="A9" s="13" t="s">
        <v>308</v>
      </c>
      <c r="B9" s="13" t="s">
        <v>309</v>
      </c>
      <c r="C9" s="15" t="s">
        <v>383</v>
      </c>
      <c r="D9" s="13">
        <v>269</v>
      </c>
      <c r="E9" s="13" t="s">
        <v>257</v>
      </c>
      <c r="F9" s="13">
        <v>269</v>
      </c>
      <c r="G9" s="13" t="s">
        <v>311</v>
      </c>
      <c r="H9" s="13" t="s">
        <v>312</v>
      </c>
      <c r="I9" s="18" t="s">
        <v>253</v>
      </c>
      <c r="J9" s="18" t="s">
        <v>254</v>
      </c>
      <c r="K9" s="18"/>
      <c r="L9" s="18"/>
      <c r="M9" s="18"/>
      <c r="N9" s="18"/>
    </row>
    <row r="10" spans="1:14" x14ac:dyDescent="0.35">
      <c r="A10" s="13" t="s">
        <v>258</v>
      </c>
      <c r="B10" s="13" t="s">
        <v>384</v>
      </c>
      <c r="C10" s="15" t="s">
        <v>385</v>
      </c>
      <c r="D10" s="13">
        <v>287</v>
      </c>
      <c r="E10" s="13" t="s">
        <v>66</v>
      </c>
      <c r="F10" s="13">
        <v>223</v>
      </c>
      <c r="G10" s="13" t="s">
        <v>25</v>
      </c>
      <c r="H10" s="13" t="s">
        <v>201</v>
      </c>
      <c r="I10" s="18" t="s">
        <v>260</v>
      </c>
      <c r="J10" s="18" t="s">
        <v>261</v>
      </c>
      <c r="K10" s="18"/>
      <c r="L10" s="18"/>
      <c r="M10" s="18"/>
      <c r="N10" s="18"/>
    </row>
    <row r="11" spans="1:14" x14ac:dyDescent="0.35">
      <c r="A11" s="13" t="s">
        <v>386</v>
      </c>
      <c r="B11" s="13" t="s">
        <v>387</v>
      </c>
      <c r="C11" s="15" t="s">
        <v>388</v>
      </c>
      <c r="D11" s="13">
        <v>688</v>
      </c>
      <c r="E11" s="13" t="s">
        <v>389</v>
      </c>
      <c r="F11" s="13" t="s">
        <v>108</v>
      </c>
      <c r="G11" s="13" t="s">
        <v>38</v>
      </c>
      <c r="H11" s="13" t="s">
        <v>247</v>
      </c>
      <c r="I11" s="18" t="s">
        <v>253</v>
      </c>
      <c r="J11" s="18" t="s">
        <v>254</v>
      </c>
      <c r="K11" s="18"/>
      <c r="L11" s="18"/>
      <c r="M11" s="18"/>
      <c r="N11" s="18"/>
    </row>
    <row r="12" spans="1:14" x14ac:dyDescent="0.35">
      <c r="A12" s="13" t="s">
        <v>390</v>
      </c>
      <c r="B12" s="13" t="s">
        <v>391</v>
      </c>
      <c r="C12" s="15" t="s">
        <v>392</v>
      </c>
      <c r="D12" s="13">
        <v>248</v>
      </c>
      <c r="E12" s="13" t="s">
        <v>265</v>
      </c>
      <c r="F12" s="13">
        <v>94</v>
      </c>
      <c r="G12" s="13" t="s">
        <v>16</v>
      </c>
      <c r="H12" s="13" t="s">
        <v>164</v>
      </c>
      <c r="I12" s="18" t="s">
        <v>253</v>
      </c>
      <c r="J12" s="18" t="s">
        <v>243</v>
      </c>
      <c r="K12" s="18"/>
      <c r="L12" s="18"/>
      <c r="M12" s="18"/>
      <c r="N12" s="18"/>
    </row>
    <row r="13" spans="1:14" x14ac:dyDescent="0.35">
      <c r="A13" s="13" t="s">
        <v>393</v>
      </c>
      <c r="B13" s="13" t="s">
        <v>394</v>
      </c>
      <c r="C13" s="15" t="s">
        <v>395</v>
      </c>
      <c r="D13" s="13">
        <v>212</v>
      </c>
      <c r="E13" s="13" t="s">
        <v>95</v>
      </c>
      <c r="F13" s="13" t="s">
        <v>108</v>
      </c>
      <c r="G13" s="13" t="s">
        <v>25</v>
      </c>
      <c r="H13" s="13" t="s">
        <v>379</v>
      </c>
      <c r="I13" s="18" t="s">
        <v>253</v>
      </c>
      <c r="J13" s="18" t="s">
        <v>254</v>
      </c>
      <c r="K13" s="18"/>
      <c r="L13" s="18"/>
      <c r="M13" s="18"/>
      <c r="N13" s="18"/>
    </row>
    <row r="14" spans="1:14" x14ac:dyDescent="0.35">
      <c r="A14" s="13" t="s">
        <v>55</v>
      </c>
      <c r="B14" s="13" t="s">
        <v>287</v>
      </c>
      <c r="C14" s="15" t="s">
        <v>396</v>
      </c>
      <c r="D14" s="13">
        <v>94</v>
      </c>
      <c r="E14" s="13" t="s">
        <v>57</v>
      </c>
      <c r="F14" s="13">
        <v>300</v>
      </c>
      <c r="G14" s="13" t="s">
        <v>103</v>
      </c>
      <c r="H14" s="13" t="s">
        <v>104</v>
      </c>
      <c r="I14" s="18" t="s">
        <v>253</v>
      </c>
      <c r="J14" s="18" t="s">
        <v>254</v>
      </c>
      <c r="K14" s="18"/>
      <c r="L14" s="18"/>
      <c r="M14" s="18"/>
      <c r="N14" s="18"/>
    </row>
    <row r="15" spans="1:14" x14ac:dyDescent="0.35">
      <c r="A15" s="13" t="s">
        <v>397</v>
      </c>
      <c r="B15" s="13" t="s">
        <v>398</v>
      </c>
      <c r="C15" s="15" t="s">
        <v>399</v>
      </c>
      <c r="D15" s="13">
        <v>319</v>
      </c>
      <c r="E15" s="13" t="s">
        <v>400</v>
      </c>
      <c r="F15" s="13">
        <v>319</v>
      </c>
      <c r="G15" s="13" t="s">
        <v>103</v>
      </c>
      <c r="H15" s="13" t="s">
        <v>401</v>
      </c>
      <c r="I15" s="18" t="s">
        <v>242</v>
      </c>
      <c r="J15" s="18" t="s">
        <v>243</v>
      </c>
      <c r="K15" s="18"/>
      <c r="L15" s="18"/>
      <c r="M15" s="18"/>
      <c r="N15" s="18"/>
    </row>
    <row r="16" spans="1:14" x14ac:dyDescent="0.35">
      <c r="A16" s="13" t="s">
        <v>402</v>
      </c>
      <c r="B16" s="13" t="s">
        <v>403</v>
      </c>
      <c r="C16" s="15" t="s">
        <v>404</v>
      </c>
      <c r="D16" s="13">
        <v>798</v>
      </c>
      <c r="E16" s="13" t="s">
        <v>233</v>
      </c>
      <c r="F16" s="13">
        <v>798</v>
      </c>
      <c r="G16" s="13" t="s">
        <v>38</v>
      </c>
      <c r="H16" s="13" t="s">
        <v>247</v>
      </c>
      <c r="I16" s="18" t="s">
        <v>242</v>
      </c>
      <c r="J16" s="18" t="s">
        <v>243</v>
      </c>
      <c r="K16" s="18"/>
      <c r="L16" s="18"/>
      <c r="M16" s="18"/>
      <c r="N16" s="18"/>
    </row>
    <row r="17" spans="1:14" x14ac:dyDescent="0.35">
      <c r="A17" s="18"/>
      <c r="B17" s="18"/>
      <c r="C17" s="19"/>
      <c r="D17" s="18"/>
      <c r="E17" s="18"/>
      <c r="F17" s="18"/>
      <c r="G17" s="18"/>
      <c r="H17" s="18"/>
      <c r="I17" s="18"/>
      <c r="J17" s="18"/>
      <c r="K17" s="18"/>
      <c r="L17" s="18"/>
      <c r="M17" s="18"/>
      <c r="N17" s="18"/>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05392-7B41-479E-A649-24C821C71998}">
  <dimension ref="A1:N17"/>
  <sheetViews>
    <sheetView workbookViewId="0">
      <selection activeCell="C17" sqref="C17"/>
    </sheetView>
  </sheetViews>
  <sheetFormatPr defaultRowHeight="15.5" x14ac:dyDescent="0.35"/>
  <cols>
    <col min="1" max="1" width="34.08984375" style="16" bestFit="1" customWidth="1"/>
    <col min="2" max="2" width="42.7265625" style="16" bestFit="1" customWidth="1"/>
    <col min="3" max="3" width="143.1796875" style="17" bestFit="1" customWidth="1"/>
    <col min="4" max="4" width="10.26953125" style="16" bestFit="1" customWidth="1"/>
    <col min="5" max="5" width="42.7265625" style="16" bestFit="1" customWidth="1"/>
    <col min="6" max="6" width="8" style="16" bestFit="1" customWidth="1"/>
    <col min="7" max="7" width="15.81640625" style="16" bestFit="1" customWidth="1"/>
    <col min="8" max="8" width="20" style="16" bestFit="1" customWidth="1"/>
    <col min="9" max="9" width="9.36328125" style="16" bestFit="1" customWidth="1"/>
    <col min="10" max="10" width="12.08984375" style="16" bestFit="1" customWidth="1"/>
    <col min="11" max="16384" width="8.7265625" style="16"/>
  </cols>
  <sheetData>
    <row r="1" spans="1:14" x14ac:dyDescent="0.35">
      <c r="A1" s="6" t="s">
        <v>0</v>
      </c>
      <c r="B1" s="6" t="s">
        <v>1</v>
      </c>
      <c r="C1" s="14" t="s">
        <v>2</v>
      </c>
      <c r="D1" s="6" t="s">
        <v>3</v>
      </c>
      <c r="E1" s="6" t="s">
        <v>4</v>
      </c>
      <c r="F1" s="6" t="s">
        <v>5</v>
      </c>
      <c r="G1" s="6" t="s">
        <v>6</v>
      </c>
      <c r="H1" s="6" t="s">
        <v>7</v>
      </c>
      <c r="I1" s="9" t="s">
        <v>240</v>
      </c>
      <c r="J1" s="9" t="s">
        <v>241</v>
      </c>
      <c r="K1" s="8"/>
      <c r="L1" s="8"/>
      <c r="M1" s="8"/>
      <c r="N1" s="8"/>
    </row>
    <row r="2" spans="1:14" x14ac:dyDescent="0.35">
      <c r="A2" s="13" t="s">
        <v>244</v>
      </c>
      <c r="B2" s="13" t="s">
        <v>405</v>
      </c>
      <c r="C2" s="15" t="s">
        <v>406</v>
      </c>
      <c r="D2" s="13">
        <v>565</v>
      </c>
      <c r="E2" s="13" t="s">
        <v>246</v>
      </c>
      <c r="F2" s="13">
        <v>200</v>
      </c>
      <c r="G2" s="13" t="s">
        <v>38</v>
      </c>
      <c r="H2" s="13" t="s">
        <v>247</v>
      </c>
      <c r="I2" s="18" t="s">
        <v>242</v>
      </c>
      <c r="J2" s="18" t="s">
        <v>243</v>
      </c>
      <c r="K2" s="18"/>
      <c r="L2" s="18"/>
      <c r="M2" s="18"/>
      <c r="N2" s="18"/>
    </row>
    <row r="3" spans="1:14" x14ac:dyDescent="0.35">
      <c r="A3" s="13" t="s">
        <v>365</v>
      </c>
      <c r="B3" s="13" t="s">
        <v>366</v>
      </c>
      <c r="C3" s="15" t="s">
        <v>407</v>
      </c>
      <c r="D3" s="13">
        <v>215</v>
      </c>
      <c r="E3" s="13" t="s">
        <v>70</v>
      </c>
      <c r="F3" s="13">
        <v>250</v>
      </c>
      <c r="G3" s="13" t="s">
        <v>25</v>
      </c>
      <c r="H3" s="13" t="s">
        <v>164</v>
      </c>
      <c r="I3" s="18" t="s">
        <v>242</v>
      </c>
      <c r="J3" s="18" t="s">
        <v>243</v>
      </c>
      <c r="K3" s="18"/>
      <c r="L3" s="18"/>
      <c r="M3" s="18"/>
      <c r="N3" s="18"/>
    </row>
    <row r="4" spans="1:14" x14ac:dyDescent="0.35">
      <c r="A4" s="13" t="s">
        <v>408</v>
      </c>
      <c r="B4" s="13" t="s">
        <v>409</v>
      </c>
      <c r="C4" s="15" t="s">
        <v>410</v>
      </c>
      <c r="D4" s="13">
        <v>575</v>
      </c>
      <c r="E4" s="13" t="s">
        <v>411</v>
      </c>
      <c r="F4" s="13" t="s">
        <v>108</v>
      </c>
      <c r="G4" s="13" t="s">
        <v>25</v>
      </c>
      <c r="H4" s="13" t="s">
        <v>46</v>
      </c>
      <c r="I4" s="18" t="s">
        <v>242</v>
      </c>
      <c r="J4" s="18" t="s">
        <v>254</v>
      </c>
      <c r="K4" s="18"/>
      <c r="L4" s="18"/>
      <c r="M4" s="18"/>
      <c r="N4" s="18"/>
    </row>
    <row r="5" spans="1:14" x14ac:dyDescent="0.35">
      <c r="A5" s="13" t="s">
        <v>412</v>
      </c>
      <c r="B5" s="13" t="s">
        <v>413</v>
      </c>
      <c r="C5" s="15" t="s">
        <v>414</v>
      </c>
      <c r="D5" s="13">
        <v>148</v>
      </c>
      <c r="E5" s="13" t="s">
        <v>251</v>
      </c>
      <c r="F5" s="13">
        <v>354</v>
      </c>
      <c r="G5" s="13" t="s">
        <v>130</v>
      </c>
      <c r="H5" s="13" t="s">
        <v>252</v>
      </c>
      <c r="I5" s="18" t="s">
        <v>253</v>
      </c>
      <c r="J5" s="18" t="s">
        <v>243</v>
      </c>
      <c r="K5" s="18"/>
      <c r="L5" s="18"/>
      <c r="M5" s="18"/>
      <c r="N5" s="18"/>
    </row>
    <row r="6" spans="1:14" x14ac:dyDescent="0.35">
      <c r="A6" s="13" t="s">
        <v>236</v>
      </c>
      <c r="B6" s="13" t="s">
        <v>415</v>
      </c>
      <c r="C6" s="15" t="s">
        <v>416</v>
      </c>
      <c r="D6" s="13">
        <v>595</v>
      </c>
      <c r="E6" s="13" t="s">
        <v>239</v>
      </c>
      <c r="F6" s="13">
        <v>400</v>
      </c>
      <c r="G6" s="13" t="s">
        <v>25</v>
      </c>
      <c r="H6" s="13" t="s">
        <v>26</v>
      </c>
      <c r="I6" s="18" t="s">
        <v>253</v>
      </c>
      <c r="J6" s="18" t="s">
        <v>1281</v>
      </c>
      <c r="K6" s="18"/>
      <c r="L6" s="18"/>
      <c r="M6" s="18"/>
      <c r="N6" s="18"/>
    </row>
    <row r="7" spans="1:14" x14ac:dyDescent="0.35">
      <c r="A7" s="13" t="s">
        <v>183</v>
      </c>
      <c r="B7" s="13" t="s">
        <v>417</v>
      </c>
      <c r="C7" s="15" t="s">
        <v>418</v>
      </c>
      <c r="D7" s="13">
        <v>79</v>
      </c>
      <c r="E7" s="13" t="s">
        <v>71</v>
      </c>
      <c r="F7" s="13">
        <v>79</v>
      </c>
      <c r="G7" s="13" t="s">
        <v>25</v>
      </c>
      <c r="H7" s="13" t="s">
        <v>164</v>
      </c>
      <c r="I7" s="18" t="s">
        <v>242</v>
      </c>
      <c r="J7" s="18" t="s">
        <v>254</v>
      </c>
      <c r="K7" s="18"/>
      <c r="L7" s="18"/>
      <c r="M7" s="18"/>
      <c r="N7" s="18"/>
    </row>
    <row r="8" spans="1:14" x14ac:dyDescent="0.35">
      <c r="A8" s="13" t="s">
        <v>419</v>
      </c>
      <c r="B8" s="13" t="s">
        <v>420</v>
      </c>
      <c r="C8" s="15" t="s">
        <v>421</v>
      </c>
      <c r="D8" s="13">
        <v>209</v>
      </c>
      <c r="E8" s="13" t="s">
        <v>349</v>
      </c>
      <c r="F8" s="13">
        <v>209</v>
      </c>
      <c r="G8" s="13" t="s">
        <v>38</v>
      </c>
      <c r="H8" s="13" t="s">
        <v>350</v>
      </c>
      <c r="I8" s="18" t="s">
        <v>253</v>
      </c>
      <c r="J8" s="18" t="s">
        <v>254</v>
      </c>
      <c r="K8" s="18"/>
      <c r="L8" s="18"/>
      <c r="M8" s="18"/>
      <c r="N8" s="18"/>
    </row>
    <row r="9" spans="1:14" x14ac:dyDescent="0.35">
      <c r="A9" s="13" t="s">
        <v>308</v>
      </c>
      <c r="B9" s="13" t="s">
        <v>422</v>
      </c>
      <c r="C9" s="15" t="s">
        <v>423</v>
      </c>
      <c r="D9" s="13">
        <v>269</v>
      </c>
      <c r="E9" s="13" t="s">
        <v>257</v>
      </c>
      <c r="F9" s="13">
        <v>269</v>
      </c>
      <c r="G9" s="13" t="s">
        <v>311</v>
      </c>
      <c r="H9" s="13" t="s">
        <v>312</v>
      </c>
      <c r="I9" s="18" t="s">
        <v>253</v>
      </c>
      <c r="J9" s="18" t="s">
        <v>254</v>
      </c>
      <c r="K9" s="18"/>
      <c r="L9" s="18"/>
      <c r="M9" s="18"/>
      <c r="N9" s="18"/>
    </row>
    <row r="10" spans="1:14" x14ac:dyDescent="0.35">
      <c r="A10" s="13" t="s">
        <v>40</v>
      </c>
      <c r="B10" s="13" t="s">
        <v>424</v>
      </c>
      <c r="C10" s="15" t="s">
        <v>425</v>
      </c>
      <c r="D10" s="13">
        <v>593</v>
      </c>
      <c r="E10" s="13" t="s">
        <v>426</v>
      </c>
      <c r="F10" s="13">
        <v>384</v>
      </c>
      <c r="G10" s="13" t="s">
        <v>38</v>
      </c>
      <c r="H10" s="13" t="s">
        <v>104</v>
      </c>
      <c r="I10" s="18" t="s">
        <v>253</v>
      </c>
      <c r="J10" s="18" t="s">
        <v>254</v>
      </c>
      <c r="K10" s="18"/>
      <c r="L10" s="18"/>
      <c r="M10" s="18"/>
      <c r="N10" s="18"/>
    </row>
    <row r="11" spans="1:14" x14ac:dyDescent="0.35">
      <c r="A11" s="13" t="s">
        <v>258</v>
      </c>
      <c r="B11" s="13" t="s">
        <v>384</v>
      </c>
      <c r="C11" s="15" t="s">
        <v>427</v>
      </c>
      <c r="D11" s="13">
        <v>287</v>
      </c>
      <c r="E11" s="13" t="s">
        <v>66</v>
      </c>
      <c r="F11" s="13">
        <v>223</v>
      </c>
      <c r="G11" s="13" t="s">
        <v>25</v>
      </c>
      <c r="H11" s="13" t="s">
        <v>201</v>
      </c>
      <c r="I11" s="18" t="s">
        <v>260</v>
      </c>
      <c r="J11" s="18" t="s">
        <v>261</v>
      </c>
      <c r="K11" s="18"/>
      <c r="L11" s="18"/>
      <c r="M11" s="18"/>
      <c r="N11" s="18"/>
    </row>
    <row r="12" spans="1:14" x14ac:dyDescent="0.35">
      <c r="A12" s="13" t="s">
        <v>428</v>
      </c>
      <c r="B12" s="13" t="s">
        <v>429</v>
      </c>
      <c r="C12" s="15" t="s">
        <v>430</v>
      </c>
      <c r="D12" s="13">
        <v>918</v>
      </c>
      <c r="E12" s="13" t="s">
        <v>175</v>
      </c>
      <c r="F12" s="13">
        <v>918</v>
      </c>
      <c r="G12" s="13" t="s">
        <v>25</v>
      </c>
      <c r="H12" s="13" t="s">
        <v>431</v>
      </c>
      <c r="I12" s="18" t="s">
        <v>242</v>
      </c>
      <c r="J12" s="18" t="s">
        <v>243</v>
      </c>
      <c r="K12" s="18"/>
      <c r="L12" s="18"/>
      <c r="M12" s="18"/>
      <c r="N12" s="18"/>
    </row>
    <row r="13" spans="1:14" x14ac:dyDescent="0.35">
      <c r="A13" s="13" t="s">
        <v>432</v>
      </c>
      <c r="B13" s="13" t="s">
        <v>433</v>
      </c>
      <c r="C13" s="15" t="s">
        <v>434</v>
      </c>
      <c r="D13" s="13">
        <v>798</v>
      </c>
      <c r="E13" s="13" t="s">
        <v>233</v>
      </c>
      <c r="F13" s="13">
        <v>798</v>
      </c>
      <c r="G13" s="13" t="s">
        <v>38</v>
      </c>
      <c r="H13" s="13" t="s">
        <v>247</v>
      </c>
      <c r="I13" s="18" t="s">
        <v>242</v>
      </c>
      <c r="J13" s="18" t="s">
        <v>243</v>
      </c>
      <c r="K13" s="18"/>
      <c r="L13" s="18"/>
      <c r="M13" s="18"/>
      <c r="N13" s="18"/>
    </row>
    <row r="14" spans="1:14" x14ac:dyDescent="0.35">
      <c r="A14" s="13" t="s">
        <v>435</v>
      </c>
      <c r="B14" s="13" t="s">
        <v>436</v>
      </c>
      <c r="C14" s="15" t="s">
        <v>437</v>
      </c>
      <c r="D14" s="13">
        <v>506</v>
      </c>
      <c r="E14" s="13" t="s">
        <v>123</v>
      </c>
      <c r="F14" s="13" t="s">
        <v>108</v>
      </c>
      <c r="G14" s="13" t="s">
        <v>25</v>
      </c>
      <c r="H14" s="13" t="s">
        <v>164</v>
      </c>
      <c r="I14" s="18" t="s">
        <v>253</v>
      </c>
      <c r="J14" s="18" t="s">
        <v>254</v>
      </c>
      <c r="K14" s="18"/>
      <c r="L14" s="18"/>
      <c r="M14" s="18"/>
      <c r="N14" s="18"/>
    </row>
    <row r="15" spans="1:14" x14ac:dyDescent="0.35">
      <c r="A15" s="13" t="s">
        <v>55</v>
      </c>
      <c r="B15" s="13" t="s">
        <v>438</v>
      </c>
      <c r="C15" s="15" t="s">
        <v>439</v>
      </c>
      <c r="D15" s="13">
        <v>94</v>
      </c>
      <c r="E15" s="13" t="s">
        <v>57</v>
      </c>
      <c r="F15" s="13">
        <v>300</v>
      </c>
      <c r="G15" s="13" t="s">
        <v>103</v>
      </c>
      <c r="H15" s="13" t="s">
        <v>104</v>
      </c>
      <c r="I15" s="18" t="s">
        <v>253</v>
      </c>
      <c r="J15" s="18" t="s">
        <v>254</v>
      </c>
      <c r="K15" s="18"/>
      <c r="L15" s="18"/>
      <c r="M15" s="18"/>
      <c r="N15" s="18"/>
    </row>
    <row r="16" spans="1:14" x14ac:dyDescent="0.35">
      <c r="A16" s="13" t="s">
        <v>397</v>
      </c>
      <c r="B16" s="13" t="s">
        <v>440</v>
      </c>
      <c r="C16" s="15" t="s">
        <v>441</v>
      </c>
      <c r="D16" s="13">
        <v>319</v>
      </c>
      <c r="E16" s="13" t="s">
        <v>400</v>
      </c>
      <c r="F16" s="13">
        <v>319</v>
      </c>
      <c r="G16" s="13" t="s">
        <v>103</v>
      </c>
      <c r="H16" s="13" t="s">
        <v>401</v>
      </c>
      <c r="I16" s="18" t="s">
        <v>242</v>
      </c>
      <c r="J16" s="18" t="s">
        <v>243</v>
      </c>
      <c r="K16" s="18"/>
      <c r="L16" s="18"/>
      <c r="M16" s="18"/>
      <c r="N16" s="18"/>
    </row>
    <row r="17" spans="1:14" x14ac:dyDescent="0.35">
      <c r="A17" s="18"/>
      <c r="B17" s="18"/>
      <c r="C17" s="19"/>
      <c r="D17" s="18"/>
      <c r="E17" s="18"/>
      <c r="F17" s="18"/>
      <c r="G17" s="18"/>
      <c r="H17" s="18"/>
      <c r="I17" s="18"/>
      <c r="J17" s="18"/>
      <c r="K17" s="18"/>
      <c r="L17" s="18"/>
      <c r="M17" s="18"/>
      <c r="N17" s="18"/>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BC73F-9B25-4B27-B759-5D387AF458DE}">
  <dimension ref="A1:N17"/>
  <sheetViews>
    <sheetView workbookViewId="0">
      <selection activeCell="C17" sqref="C17"/>
    </sheetView>
  </sheetViews>
  <sheetFormatPr defaultRowHeight="15.5" x14ac:dyDescent="0.35"/>
  <cols>
    <col min="1" max="1" width="24.36328125" style="16" bestFit="1" customWidth="1"/>
    <col min="2" max="2" width="28.1796875" style="16" bestFit="1" customWidth="1"/>
    <col min="3" max="3" width="144.81640625" style="17" bestFit="1" customWidth="1"/>
    <col min="4" max="4" width="10.26953125" style="16" bestFit="1" customWidth="1"/>
    <col min="5" max="5" width="42.7265625" style="16" bestFit="1" customWidth="1"/>
    <col min="6" max="6" width="8" style="16" bestFit="1" customWidth="1"/>
    <col min="7" max="7" width="15.81640625" style="16" bestFit="1" customWidth="1"/>
    <col min="8" max="8" width="20" style="16" bestFit="1" customWidth="1"/>
    <col min="9" max="9" width="9.36328125" style="16" bestFit="1" customWidth="1"/>
    <col min="10" max="10" width="12.08984375" style="16" bestFit="1" customWidth="1"/>
    <col min="11" max="16384" width="8.7265625" style="16"/>
  </cols>
  <sheetData>
    <row r="1" spans="1:14" x14ac:dyDescent="0.35">
      <c r="A1" s="6" t="s">
        <v>0</v>
      </c>
      <c r="B1" s="6" t="s">
        <v>1</v>
      </c>
      <c r="C1" s="14" t="s">
        <v>2</v>
      </c>
      <c r="D1" s="6" t="s">
        <v>3</v>
      </c>
      <c r="E1" s="6" t="s">
        <v>4</v>
      </c>
      <c r="F1" s="6" t="s">
        <v>5</v>
      </c>
      <c r="G1" s="6" t="s">
        <v>6</v>
      </c>
      <c r="H1" s="6" t="s">
        <v>7</v>
      </c>
      <c r="I1" s="9" t="s">
        <v>240</v>
      </c>
      <c r="J1" s="9" t="s">
        <v>241</v>
      </c>
      <c r="K1" s="8"/>
      <c r="L1" s="8"/>
      <c r="M1" s="8"/>
      <c r="N1" s="8"/>
    </row>
    <row r="2" spans="1:14" x14ac:dyDescent="0.35">
      <c r="A2" s="13" t="s">
        <v>244</v>
      </c>
      <c r="B2" s="13" t="s">
        <v>442</v>
      </c>
      <c r="C2" s="15" t="s">
        <v>443</v>
      </c>
      <c r="D2" s="13">
        <v>565</v>
      </c>
      <c r="E2" s="13" t="s">
        <v>246</v>
      </c>
      <c r="F2" s="13">
        <v>200</v>
      </c>
      <c r="G2" s="13" t="s">
        <v>38</v>
      </c>
      <c r="H2" s="13" t="s">
        <v>247</v>
      </c>
      <c r="I2" s="18" t="s">
        <v>242</v>
      </c>
      <c r="J2" s="18" t="s">
        <v>243</v>
      </c>
      <c r="K2" s="18"/>
      <c r="L2" s="18"/>
      <c r="M2" s="18"/>
      <c r="N2" s="18"/>
    </row>
    <row r="3" spans="1:14" x14ac:dyDescent="0.35">
      <c r="A3" s="13" t="s">
        <v>444</v>
      </c>
      <c r="B3" s="13" t="s">
        <v>445</v>
      </c>
      <c r="C3" s="15" t="s">
        <v>446</v>
      </c>
      <c r="D3" s="13">
        <v>215</v>
      </c>
      <c r="E3" s="13" t="s">
        <v>70</v>
      </c>
      <c r="F3" s="13">
        <v>250</v>
      </c>
      <c r="G3" s="13" t="s">
        <v>25</v>
      </c>
      <c r="H3" s="13" t="s">
        <v>164</v>
      </c>
      <c r="I3" s="18" t="s">
        <v>242</v>
      </c>
      <c r="J3" s="18" t="s">
        <v>243</v>
      </c>
      <c r="K3" s="18"/>
      <c r="L3" s="18"/>
      <c r="M3" s="18"/>
      <c r="N3" s="18"/>
    </row>
    <row r="4" spans="1:14" x14ac:dyDescent="0.35">
      <c r="A4" s="13" t="s">
        <v>372</v>
      </c>
      <c r="B4" s="13" t="s">
        <v>447</v>
      </c>
      <c r="C4" s="15" t="s">
        <v>448</v>
      </c>
      <c r="D4" s="13">
        <v>148</v>
      </c>
      <c r="E4" s="13" t="s">
        <v>251</v>
      </c>
      <c r="F4" s="13">
        <v>354</v>
      </c>
      <c r="G4" s="13" t="s">
        <v>130</v>
      </c>
      <c r="H4" s="13" t="s">
        <v>252</v>
      </c>
      <c r="I4" s="18" t="s">
        <v>253</v>
      </c>
      <c r="J4" s="18" t="s">
        <v>243</v>
      </c>
      <c r="K4" s="18"/>
      <c r="L4" s="18"/>
      <c r="M4" s="18"/>
      <c r="N4" s="18"/>
    </row>
    <row r="5" spans="1:14" x14ac:dyDescent="0.35">
      <c r="A5" s="13" t="s">
        <v>236</v>
      </c>
      <c r="B5" s="13" t="s">
        <v>449</v>
      </c>
      <c r="C5" s="15" t="s">
        <v>450</v>
      </c>
      <c r="D5" s="13">
        <v>595</v>
      </c>
      <c r="E5" s="13" t="s">
        <v>239</v>
      </c>
      <c r="F5" s="13">
        <v>400</v>
      </c>
      <c r="G5" s="13" t="s">
        <v>25</v>
      </c>
      <c r="H5" s="13" t="s">
        <v>26</v>
      </c>
      <c r="I5" s="18" t="s">
        <v>253</v>
      </c>
      <c r="J5" s="18" t="s">
        <v>243</v>
      </c>
      <c r="K5" s="18"/>
      <c r="L5" s="18"/>
      <c r="M5" s="18"/>
      <c r="N5" s="18"/>
    </row>
    <row r="6" spans="1:14" x14ac:dyDescent="0.35">
      <c r="A6" s="13" t="s">
        <v>451</v>
      </c>
      <c r="B6" s="13" t="s">
        <v>452</v>
      </c>
      <c r="C6" s="15" t="s">
        <v>453</v>
      </c>
      <c r="D6" s="13">
        <v>95</v>
      </c>
      <c r="E6" s="13" t="s">
        <v>370</v>
      </c>
      <c r="F6" s="13">
        <v>78</v>
      </c>
      <c r="G6" s="13" t="s">
        <v>38</v>
      </c>
      <c r="H6" s="13" t="s">
        <v>371</v>
      </c>
      <c r="I6" s="18" t="s">
        <v>242</v>
      </c>
      <c r="J6" s="18" t="s">
        <v>1281</v>
      </c>
      <c r="K6" s="18"/>
      <c r="L6" s="18"/>
      <c r="M6" s="18"/>
      <c r="N6" s="18"/>
    </row>
    <row r="7" spans="1:14" x14ac:dyDescent="0.35">
      <c r="A7" s="13" t="s">
        <v>454</v>
      </c>
      <c r="B7" s="13" t="s">
        <v>455</v>
      </c>
      <c r="C7" s="15" t="s">
        <v>456</v>
      </c>
      <c r="D7" s="13">
        <v>200</v>
      </c>
      <c r="E7" s="13" t="s">
        <v>49</v>
      </c>
      <c r="F7" s="13">
        <v>200</v>
      </c>
      <c r="G7" s="13" t="s">
        <v>25</v>
      </c>
      <c r="H7" s="13" t="s">
        <v>379</v>
      </c>
      <c r="I7" s="18" t="s">
        <v>253</v>
      </c>
      <c r="J7" s="18" t="s">
        <v>254</v>
      </c>
      <c r="K7" s="18"/>
      <c r="L7" s="18"/>
      <c r="M7" s="18"/>
      <c r="N7" s="18"/>
    </row>
    <row r="8" spans="1:14" x14ac:dyDescent="0.35">
      <c r="A8" s="13" t="s">
        <v>457</v>
      </c>
      <c r="B8" s="13" t="s">
        <v>458</v>
      </c>
      <c r="C8" s="15" t="s">
        <v>459</v>
      </c>
      <c r="D8" s="13">
        <v>248</v>
      </c>
      <c r="E8" s="13" t="s">
        <v>265</v>
      </c>
      <c r="F8" s="13">
        <v>94</v>
      </c>
      <c r="G8" s="13" t="s">
        <v>16</v>
      </c>
      <c r="H8" s="13" t="s">
        <v>164</v>
      </c>
      <c r="I8" s="18" t="s">
        <v>253</v>
      </c>
      <c r="J8" s="18" t="s">
        <v>243</v>
      </c>
      <c r="K8" s="18"/>
      <c r="L8" s="18"/>
      <c r="M8" s="18"/>
      <c r="N8" s="18"/>
    </row>
    <row r="9" spans="1:14" x14ac:dyDescent="0.35">
      <c r="A9" s="13" t="s">
        <v>308</v>
      </c>
      <c r="B9" s="13" t="s">
        <v>309</v>
      </c>
      <c r="C9" s="15" t="s">
        <v>460</v>
      </c>
      <c r="D9" s="13">
        <v>269</v>
      </c>
      <c r="E9" s="13" t="s">
        <v>257</v>
      </c>
      <c r="F9" s="13">
        <v>269</v>
      </c>
      <c r="G9" s="13" t="s">
        <v>311</v>
      </c>
      <c r="H9" s="13" t="s">
        <v>312</v>
      </c>
      <c r="I9" s="18" t="s">
        <v>253</v>
      </c>
      <c r="J9" s="18" t="s">
        <v>254</v>
      </c>
      <c r="K9" s="18"/>
      <c r="L9" s="18"/>
      <c r="M9" s="18"/>
      <c r="N9" s="18"/>
    </row>
    <row r="10" spans="1:14" x14ac:dyDescent="0.35">
      <c r="A10" s="13" t="s">
        <v>258</v>
      </c>
      <c r="B10" s="13" t="s">
        <v>384</v>
      </c>
      <c r="C10" s="15" t="s">
        <v>461</v>
      </c>
      <c r="D10" s="13">
        <v>287</v>
      </c>
      <c r="E10" s="13" t="s">
        <v>66</v>
      </c>
      <c r="F10" s="13">
        <v>223</v>
      </c>
      <c r="G10" s="13" t="s">
        <v>25</v>
      </c>
      <c r="H10" s="13" t="s">
        <v>201</v>
      </c>
      <c r="I10" s="18" t="s">
        <v>260</v>
      </c>
      <c r="J10" s="18" t="s">
        <v>261</v>
      </c>
      <c r="K10" s="18"/>
      <c r="L10" s="18"/>
      <c r="M10" s="18"/>
      <c r="N10" s="18"/>
    </row>
    <row r="11" spans="1:14" x14ac:dyDescent="0.35">
      <c r="A11" s="13" t="s">
        <v>462</v>
      </c>
      <c r="B11" s="13" t="s">
        <v>409</v>
      </c>
      <c r="C11" s="15" t="s">
        <v>463</v>
      </c>
      <c r="D11" s="13">
        <v>575</v>
      </c>
      <c r="E11" s="13" t="s">
        <v>411</v>
      </c>
      <c r="F11" s="13" t="s">
        <v>108</v>
      </c>
      <c r="G11" s="13" t="s">
        <v>25</v>
      </c>
      <c r="H11" s="13" t="s">
        <v>46</v>
      </c>
      <c r="I11" s="18" t="s">
        <v>242</v>
      </c>
      <c r="J11" s="18" t="s">
        <v>254</v>
      </c>
      <c r="K11" s="18"/>
      <c r="L11" s="18"/>
      <c r="M11" s="18"/>
      <c r="N11" s="18"/>
    </row>
    <row r="12" spans="1:14" x14ac:dyDescent="0.35">
      <c r="A12" s="13" t="s">
        <v>464</v>
      </c>
      <c r="B12" s="13" t="s">
        <v>465</v>
      </c>
      <c r="C12" s="15" t="s">
        <v>466</v>
      </c>
      <c r="D12" s="13">
        <v>319</v>
      </c>
      <c r="E12" s="13" t="s">
        <v>400</v>
      </c>
      <c r="F12" s="13">
        <v>319</v>
      </c>
      <c r="G12" s="13" t="s">
        <v>103</v>
      </c>
      <c r="H12" s="13" t="s">
        <v>401</v>
      </c>
      <c r="I12" s="18" t="s">
        <v>242</v>
      </c>
      <c r="J12" s="18" t="s">
        <v>243</v>
      </c>
      <c r="K12" s="18"/>
      <c r="L12" s="18"/>
      <c r="M12" s="18"/>
      <c r="N12" s="18"/>
    </row>
    <row r="13" spans="1:14" x14ac:dyDescent="0.35">
      <c r="A13" s="13" t="s">
        <v>467</v>
      </c>
      <c r="B13" s="13" t="s">
        <v>468</v>
      </c>
      <c r="C13" s="15" t="s">
        <v>469</v>
      </c>
      <c r="D13" s="13">
        <v>200</v>
      </c>
      <c r="E13" s="13" t="s">
        <v>49</v>
      </c>
      <c r="F13" s="13">
        <v>532</v>
      </c>
      <c r="G13" s="13" t="s">
        <v>25</v>
      </c>
      <c r="H13" s="13" t="s">
        <v>379</v>
      </c>
      <c r="I13" s="18" t="s">
        <v>253</v>
      </c>
      <c r="J13" s="18" t="s">
        <v>254</v>
      </c>
      <c r="K13" s="18"/>
      <c r="L13" s="18"/>
      <c r="M13" s="18"/>
      <c r="N13" s="18"/>
    </row>
    <row r="14" spans="1:14" x14ac:dyDescent="0.35">
      <c r="A14" s="13" t="s">
        <v>470</v>
      </c>
      <c r="B14" s="13" t="s">
        <v>471</v>
      </c>
      <c r="C14" s="15" t="s">
        <v>472</v>
      </c>
      <c r="D14" s="13">
        <v>248</v>
      </c>
      <c r="E14" s="13" t="s">
        <v>265</v>
      </c>
      <c r="F14" s="13" t="s">
        <v>108</v>
      </c>
      <c r="G14" s="13" t="s">
        <v>25</v>
      </c>
      <c r="H14" s="13" t="s">
        <v>164</v>
      </c>
      <c r="I14" s="18" t="s">
        <v>253</v>
      </c>
      <c r="J14" s="18" t="s">
        <v>254</v>
      </c>
      <c r="K14" s="18"/>
      <c r="L14" s="18"/>
      <c r="M14" s="18"/>
      <c r="N14" s="18"/>
    </row>
    <row r="15" spans="1:14" x14ac:dyDescent="0.35">
      <c r="A15" s="13" t="s">
        <v>473</v>
      </c>
      <c r="B15" s="13" t="s">
        <v>474</v>
      </c>
      <c r="C15" s="15" t="s">
        <v>475</v>
      </c>
      <c r="D15" s="13">
        <v>135</v>
      </c>
      <c r="E15" s="13" t="s">
        <v>476</v>
      </c>
      <c r="F15" s="13" t="s">
        <v>108</v>
      </c>
      <c r="G15" s="13" t="s">
        <v>25</v>
      </c>
      <c r="H15" s="13" t="s">
        <v>46</v>
      </c>
      <c r="I15" s="18" t="s">
        <v>253</v>
      </c>
      <c r="J15" s="18" t="s">
        <v>254</v>
      </c>
      <c r="K15" s="18"/>
      <c r="L15" s="18"/>
      <c r="M15" s="18"/>
      <c r="N15" s="18"/>
    </row>
    <row r="16" spans="1:14" x14ac:dyDescent="0.35">
      <c r="A16" s="13"/>
      <c r="B16" s="13"/>
      <c r="C16" s="15"/>
      <c r="D16" s="13"/>
      <c r="E16" s="13"/>
      <c r="F16" s="13"/>
      <c r="G16" s="13"/>
      <c r="H16" s="13"/>
      <c r="I16" s="18"/>
      <c r="J16" s="18"/>
      <c r="K16" s="18"/>
      <c r="L16" s="18"/>
      <c r="M16" s="18"/>
      <c r="N16" s="18"/>
    </row>
    <row r="17" spans="1:14" x14ac:dyDescent="0.35">
      <c r="A17" s="18"/>
      <c r="B17" s="18"/>
      <c r="C17" s="19"/>
      <c r="D17" s="18"/>
      <c r="E17" s="18"/>
      <c r="F17" s="18"/>
      <c r="G17" s="18"/>
      <c r="H17" s="18"/>
      <c r="I17" s="18"/>
      <c r="J17" s="18"/>
      <c r="K17" s="18"/>
      <c r="L17" s="18"/>
      <c r="M17" s="18"/>
      <c r="N17" s="18"/>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C2CBF8-B2BD-4306-8C37-C914A847E494}">
  <dimension ref="A1:N17"/>
  <sheetViews>
    <sheetView topLeftCell="C1" workbookViewId="0">
      <selection activeCell="C17" sqref="C17"/>
    </sheetView>
  </sheetViews>
  <sheetFormatPr defaultRowHeight="15.5" x14ac:dyDescent="0.35"/>
  <cols>
    <col min="1" max="1" width="30.453125" style="16" bestFit="1" customWidth="1"/>
    <col min="2" max="2" width="28.6328125" style="16" bestFit="1" customWidth="1"/>
    <col min="3" max="3" width="161.08984375" style="17" bestFit="1" customWidth="1"/>
    <col min="4" max="4" width="10.26953125" style="16" bestFit="1" customWidth="1"/>
    <col min="5" max="5" width="42.7265625" style="16" bestFit="1" customWidth="1"/>
    <col min="6" max="6" width="8" style="16" bestFit="1" customWidth="1"/>
    <col min="7" max="7" width="15.81640625" style="16" bestFit="1" customWidth="1"/>
    <col min="8" max="8" width="20" style="16" bestFit="1" customWidth="1"/>
    <col min="9" max="9" width="9.36328125" style="16" bestFit="1" customWidth="1"/>
    <col min="10" max="10" width="12.08984375" style="16" bestFit="1" customWidth="1"/>
    <col min="11" max="16384" width="8.7265625" style="16"/>
  </cols>
  <sheetData>
    <row r="1" spans="1:14" x14ac:dyDescent="0.35">
      <c r="A1" s="6" t="s">
        <v>0</v>
      </c>
      <c r="B1" s="6" t="s">
        <v>1</v>
      </c>
      <c r="C1" s="14" t="s">
        <v>2</v>
      </c>
      <c r="D1" s="6" t="s">
        <v>3</v>
      </c>
      <c r="E1" s="6" t="s">
        <v>4</v>
      </c>
      <c r="F1" s="6" t="s">
        <v>5</v>
      </c>
      <c r="G1" s="6" t="s">
        <v>6</v>
      </c>
      <c r="H1" s="6" t="s">
        <v>7</v>
      </c>
      <c r="I1" s="9" t="s">
        <v>240</v>
      </c>
      <c r="J1" s="9" t="s">
        <v>241</v>
      </c>
      <c r="K1" s="8"/>
      <c r="L1" s="8"/>
      <c r="M1" s="8"/>
      <c r="N1" s="8"/>
    </row>
    <row r="2" spans="1:14" x14ac:dyDescent="0.35">
      <c r="A2" s="13" t="s">
        <v>477</v>
      </c>
      <c r="B2" s="13" t="s">
        <v>478</v>
      </c>
      <c r="C2" s="15" t="s">
        <v>479</v>
      </c>
      <c r="D2" s="13">
        <v>306</v>
      </c>
      <c r="E2" s="13" t="s">
        <v>480</v>
      </c>
      <c r="F2" s="13">
        <v>287</v>
      </c>
      <c r="G2" s="13" t="s">
        <v>38</v>
      </c>
      <c r="H2" s="13" t="s">
        <v>247</v>
      </c>
      <c r="I2" s="18" t="s">
        <v>242</v>
      </c>
      <c r="J2" s="18" t="s">
        <v>243</v>
      </c>
      <c r="K2" s="18"/>
      <c r="L2" s="18"/>
      <c r="M2" s="18"/>
      <c r="N2" s="18"/>
    </row>
    <row r="3" spans="1:14" x14ac:dyDescent="0.35">
      <c r="A3" s="13" t="s">
        <v>481</v>
      </c>
      <c r="B3" s="13" t="s">
        <v>482</v>
      </c>
      <c r="C3" s="15" t="s">
        <v>483</v>
      </c>
      <c r="D3" s="13">
        <v>798</v>
      </c>
      <c r="E3" s="13" t="s">
        <v>233</v>
      </c>
      <c r="F3" s="13">
        <v>798</v>
      </c>
      <c r="G3" s="13" t="s">
        <v>38</v>
      </c>
      <c r="H3" s="13" t="s">
        <v>247</v>
      </c>
      <c r="I3" s="18" t="s">
        <v>242</v>
      </c>
      <c r="J3" s="18" t="s">
        <v>243</v>
      </c>
      <c r="K3" s="18"/>
      <c r="L3" s="18"/>
      <c r="M3" s="18"/>
      <c r="N3" s="18"/>
    </row>
    <row r="4" spans="1:14" x14ac:dyDescent="0.35">
      <c r="A4" s="13" t="s">
        <v>236</v>
      </c>
      <c r="B4" s="13" t="s">
        <v>484</v>
      </c>
      <c r="C4" s="15" t="s">
        <v>485</v>
      </c>
      <c r="D4" s="13">
        <v>595</v>
      </c>
      <c r="E4" s="13" t="s">
        <v>239</v>
      </c>
      <c r="F4" s="13">
        <v>400</v>
      </c>
      <c r="G4" s="13" t="s">
        <v>25</v>
      </c>
      <c r="H4" s="13" t="s">
        <v>26</v>
      </c>
      <c r="I4" s="18" t="s">
        <v>253</v>
      </c>
      <c r="J4" s="18" t="s">
        <v>243</v>
      </c>
      <c r="K4" s="18"/>
      <c r="L4" s="18"/>
      <c r="M4" s="18"/>
      <c r="N4" s="18"/>
    </row>
    <row r="5" spans="1:14" x14ac:dyDescent="0.35">
      <c r="A5" s="13" t="s">
        <v>486</v>
      </c>
      <c r="B5" s="13" t="s">
        <v>487</v>
      </c>
      <c r="C5" s="15" t="s">
        <v>488</v>
      </c>
      <c r="D5" s="13">
        <v>23</v>
      </c>
      <c r="E5" s="13" t="s">
        <v>77</v>
      </c>
      <c r="F5" s="13">
        <v>89</v>
      </c>
      <c r="G5" s="13" t="s">
        <v>25</v>
      </c>
      <c r="H5" s="13" t="s">
        <v>164</v>
      </c>
      <c r="I5" s="18" t="s">
        <v>242</v>
      </c>
      <c r="J5" s="18" t="s">
        <v>254</v>
      </c>
      <c r="K5" s="18"/>
      <c r="L5" s="18"/>
      <c r="M5" s="18"/>
      <c r="N5" s="18"/>
    </row>
    <row r="6" spans="1:14" x14ac:dyDescent="0.35">
      <c r="A6" s="13" t="s">
        <v>468</v>
      </c>
      <c r="B6" s="13" t="s">
        <v>489</v>
      </c>
      <c r="C6" s="15" t="s">
        <v>490</v>
      </c>
      <c r="D6" s="13">
        <v>200</v>
      </c>
      <c r="E6" s="13" t="s">
        <v>49</v>
      </c>
      <c r="F6" s="13">
        <v>200</v>
      </c>
      <c r="G6" s="13" t="s">
        <v>25</v>
      </c>
      <c r="H6" s="13" t="s">
        <v>379</v>
      </c>
      <c r="I6" s="18" t="s">
        <v>253</v>
      </c>
      <c r="J6" s="18" t="s">
        <v>1281</v>
      </c>
      <c r="K6" s="18"/>
      <c r="L6" s="18"/>
      <c r="M6" s="18"/>
      <c r="N6" s="18"/>
    </row>
    <row r="7" spans="1:14" x14ac:dyDescent="0.35">
      <c r="A7" s="13" t="s">
        <v>491</v>
      </c>
      <c r="B7" s="13" t="s">
        <v>492</v>
      </c>
      <c r="C7" s="15" t="s">
        <v>493</v>
      </c>
      <c r="D7" s="13">
        <v>94</v>
      </c>
      <c r="E7" s="13" t="s">
        <v>57</v>
      </c>
      <c r="F7" s="13">
        <v>300</v>
      </c>
      <c r="G7" s="13" t="s">
        <v>103</v>
      </c>
      <c r="H7" s="13" t="s">
        <v>104</v>
      </c>
      <c r="I7" s="18" t="s">
        <v>242</v>
      </c>
      <c r="J7" s="18" t="s">
        <v>254</v>
      </c>
      <c r="K7" s="18"/>
      <c r="L7" s="18"/>
      <c r="M7" s="18"/>
      <c r="N7" s="18"/>
    </row>
    <row r="8" spans="1:14" x14ac:dyDescent="0.35">
      <c r="A8" s="13" t="s">
        <v>494</v>
      </c>
      <c r="B8" s="13" t="s">
        <v>495</v>
      </c>
      <c r="C8" s="15" t="s">
        <v>496</v>
      </c>
      <c r="D8" s="13">
        <v>639</v>
      </c>
      <c r="E8" s="13" t="s">
        <v>497</v>
      </c>
      <c r="F8" s="13">
        <v>284</v>
      </c>
      <c r="G8" s="13" t="s">
        <v>38</v>
      </c>
      <c r="H8" s="13" t="s">
        <v>247</v>
      </c>
      <c r="I8" s="18" t="s">
        <v>242</v>
      </c>
      <c r="J8" s="18" t="s">
        <v>243</v>
      </c>
      <c r="K8" s="18"/>
      <c r="L8" s="18"/>
      <c r="M8" s="18"/>
      <c r="N8" s="18"/>
    </row>
    <row r="9" spans="1:14" x14ac:dyDescent="0.35">
      <c r="A9" s="13" t="s">
        <v>498</v>
      </c>
      <c r="B9" s="13" t="s">
        <v>499</v>
      </c>
      <c r="C9" s="15" t="s">
        <v>500</v>
      </c>
      <c r="D9" s="13">
        <v>125</v>
      </c>
      <c r="E9" s="13" t="s">
        <v>501</v>
      </c>
      <c r="F9" s="13">
        <v>770</v>
      </c>
      <c r="G9" s="13" t="s">
        <v>25</v>
      </c>
      <c r="H9" s="13" t="s">
        <v>502</v>
      </c>
      <c r="I9" s="18" t="s">
        <v>253</v>
      </c>
      <c r="J9" s="18" t="s">
        <v>243</v>
      </c>
      <c r="K9" s="18"/>
      <c r="L9" s="18"/>
      <c r="M9" s="18"/>
      <c r="N9" s="18"/>
    </row>
    <row r="10" spans="1:14" x14ac:dyDescent="0.35">
      <c r="A10" s="13" t="s">
        <v>503</v>
      </c>
      <c r="B10" s="13" t="s">
        <v>504</v>
      </c>
      <c r="C10" s="15" t="s">
        <v>505</v>
      </c>
      <c r="D10" s="13">
        <v>141</v>
      </c>
      <c r="E10" s="13" t="s">
        <v>506</v>
      </c>
      <c r="F10" s="13">
        <v>20</v>
      </c>
      <c r="G10" s="13" t="s">
        <v>25</v>
      </c>
      <c r="H10" s="13" t="s">
        <v>164</v>
      </c>
      <c r="I10" s="18" t="s">
        <v>242</v>
      </c>
      <c r="J10" s="18" t="s">
        <v>243</v>
      </c>
      <c r="K10" s="18"/>
      <c r="L10" s="18"/>
      <c r="M10" s="18"/>
      <c r="N10" s="18"/>
    </row>
    <row r="11" spans="1:14" x14ac:dyDescent="0.35">
      <c r="A11" s="13" t="s">
        <v>507</v>
      </c>
      <c r="B11" s="13" t="s">
        <v>508</v>
      </c>
      <c r="C11" s="15" t="s">
        <v>509</v>
      </c>
      <c r="D11" s="13">
        <v>209</v>
      </c>
      <c r="E11" s="13" t="s">
        <v>349</v>
      </c>
      <c r="F11" s="13">
        <v>209</v>
      </c>
      <c r="G11" s="13" t="s">
        <v>25</v>
      </c>
      <c r="H11" s="13" t="s">
        <v>379</v>
      </c>
      <c r="I11" s="18" t="s">
        <v>260</v>
      </c>
      <c r="J11" s="18" t="s">
        <v>254</v>
      </c>
      <c r="K11" s="18"/>
      <c r="L11" s="18"/>
      <c r="M11" s="18"/>
      <c r="N11" s="18"/>
    </row>
    <row r="12" spans="1:14" x14ac:dyDescent="0.35">
      <c r="A12" s="13" t="s">
        <v>510</v>
      </c>
      <c r="B12" s="13" t="s">
        <v>384</v>
      </c>
      <c r="C12" s="15" t="s">
        <v>511</v>
      </c>
      <c r="D12" s="13">
        <v>287</v>
      </c>
      <c r="E12" s="13" t="s">
        <v>66</v>
      </c>
      <c r="F12" s="13">
        <v>223</v>
      </c>
      <c r="G12" s="13" t="s">
        <v>25</v>
      </c>
      <c r="H12" s="13" t="s">
        <v>201</v>
      </c>
      <c r="I12" s="18" t="s">
        <v>253</v>
      </c>
      <c r="J12" s="18" t="s">
        <v>261</v>
      </c>
      <c r="K12" s="18"/>
      <c r="L12" s="18"/>
      <c r="M12" s="18"/>
      <c r="N12" s="18"/>
    </row>
    <row r="13" spans="1:14" x14ac:dyDescent="0.35">
      <c r="A13" s="13" t="s">
        <v>512</v>
      </c>
      <c r="B13" s="13" t="s">
        <v>513</v>
      </c>
      <c r="C13" s="15" t="s">
        <v>514</v>
      </c>
      <c r="D13" s="13">
        <v>593</v>
      </c>
      <c r="E13" s="13" t="s">
        <v>426</v>
      </c>
      <c r="F13" s="13">
        <v>384</v>
      </c>
      <c r="G13" s="13" t="s">
        <v>38</v>
      </c>
      <c r="H13" s="13" t="s">
        <v>247</v>
      </c>
      <c r="I13" s="18" t="s">
        <v>253</v>
      </c>
      <c r="J13" s="18" t="s">
        <v>254</v>
      </c>
      <c r="K13" s="18"/>
      <c r="L13" s="18"/>
      <c r="M13" s="18"/>
      <c r="N13" s="18"/>
    </row>
    <row r="14" spans="1:14" x14ac:dyDescent="0.35">
      <c r="A14" s="13" t="s">
        <v>473</v>
      </c>
      <c r="B14" s="13" t="s">
        <v>515</v>
      </c>
      <c r="C14" s="15" t="s">
        <v>516</v>
      </c>
      <c r="D14" s="13">
        <v>135</v>
      </c>
      <c r="E14" s="13" t="s">
        <v>476</v>
      </c>
      <c r="F14" s="13" t="s">
        <v>108</v>
      </c>
      <c r="G14" s="13" t="s">
        <v>25</v>
      </c>
      <c r="H14" s="13" t="s">
        <v>46</v>
      </c>
      <c r="I14" s="18" t="s">
        <v>253</v>
      </c>
      <c r="J14" s="18" t="s">
        <v>254</v>
      </c>
      <c r="K14" s="18"/>
      <c r="L14" s="18"/>
      <c r="M14" s="18"/>
      <c r="N14" s="18"/>
    </row>
    <row r="15" spans="1:14" x14ac:dyDescent="0.35">
      <c r="A15" s="13" t="s">
        <v>517</v>
      </c>
      <c r="B15" s="13" t="s">
        <v>518</v>
      </c>
      <c r="C15" s="15" t="s">
        <v>519</v>
      </c>
      <c r="D15" s="13">
        <v>548</v>
      </c>
      <c r="E15" s="13" t="s">
        <v>520</v>
      </c>
      <c r="F15" s="13" t="s">
        <v>108</v>
      </c>
      <c r="G15" s="13" t="s">
        <v>25</v>
      </c>
      <c r="H15" s="13" t="s">
        <v>164</v>
      </c>
      <c r="I15" s="18" t="s">
        <v>253</v>
      </c>
      <c r="J15" s="18" t="s">
        <v>254</v>
      </c>
      <c r="K15" s="18"/>
      <c r="L15" s="18"/>
      <c r="M15" s="18"/>
      <c r="N15" s="18"/>
    </row>
    <row r="16" spans="1:14" x14ac:dyDescent="0.35">
      <c r="A16" s="13"/>
      <c r="B16" s="13"/>
      <c r="C16" s="15"/>
      <c r="D16" s="13"/>
      <c r="E16" s="13"/>
      <c r="F16" s="13"/>
      <c r="G16" s="13"/>
      <c r="H16" s="13"/>
      <c r="I16" s="18"/>
      <c r="J16" s="18"/>
      <c r="K16" s="18"/>
      <c r="L16" s="18"/>
      <c r="M16" s="18"/>
      <c r="N16" s="18"/>
    </row>
    <row r="17" spans="1:14" x14ac:dyDescent="0.35">
      <c r="A17" s="18"/>
      <c r="B17" s="18"/>
      <c r="C17" s="19"/>
      <c r="D17" s="18"/>
      <c r="E17" s="18"/>
      <c r="F17" s="18"/>
      <c r="G17" s="18"/>
      <c r="H17" s="18"/>
      <c r="I17" s="18"/>
      <c r="J17" s="18"/>
      <c r="K17" s="18"/>
      <c r="L17" s="18"/>
      <c r="M17" s="18"/>
      <c r="N17" s="18"/>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6EEA2-7C77-4EB7-8403-A768338CE19E}">
  <dimension ref="A1:N17"/>
  <sheetViews>
    <sheetView workbookViewId="0">
      <selection activeCell="C17" sqref="C17"/>
    </sheetView>
  </sheetViews>
  <sheetFormatPr defaultRowHeight="15.5" x14ac:dyDescent="0.35"/>
  <cols>
    <col min="1" max="1" width="30.1796875" style="16" bestFit="1" customWidth="1"/>
    <col min="2" max="2" width="18.90625" style="16" bestFit="1" customWidth="1"/>
    <col min="3" max="3" width="130.6328125" style="17" bestFit="1" customWidth="1"/>
    <col min="4" max="4" width="12.54296875" style="16" bestFit="1" customWidth="1"/>
    <col min="5" max="5" width="48.26953125" style="16" bestFit="1" customWidth="1"/>
    <col min="6" max="6" width="10.26953125" style="16" bestFit="1" customWidth="1"/>
    <col min="7" max="7" width="18.08984375" style="16" bestFit="1" customWidth="1"/>
    <col min="8" max="8" width="26.90625" style="16" bestFit="1" customWidth="1"/>
    <col min="9" max="9" width="24.90625" style="16" bestFit="1" customWidth="1"/>
    <col min="10" max="10" width="35.6328125" style="16" bestFit="1" customWidth="1"/>
    <col min="11" max="11" width="11.6328125" style="16" bestFit="1" customWidth="1"/>
    <col min="12" max="12" width="14.36328125" style="16" bestFit="1" customWidth="1"/>
    <col min="13" max="13" width="33.7265625" style="16" bestFit="1" customWidth="1"/>
    <col min="14" max="14" width="39.453125" style="16" bestFit="1" customWidth="1"/>
    <col min="15" max="16384" width="8.7265625" style="16"/>
  </cols>
  <sheetData>
    <row r="1" spans="1:14" x14ac:dyDescent="0.35">
      <c r="A1" s="6" t="s">
        <v>0</v>
      </c>
      <c r="B1" s="6" t="s">
        <v>567</v>
      </c>
      <c r="C1" s="14" t="s">
        <v>2</v>
      </c>
      <c r="D1" s="6" t="s">
        <v>3</v>
      </c>
      <c r="E1" s="6" t="s">
        <v>4</v>
      </c>
      <c r="F1" s="6" t="s">
        <v>5</v>
      </c>
      <c r="G1" s="6" t="s">
        <v>6</v>
      </c>
      <c r="H1" s="6" t="s">
        <v>598</v>
      </c>
      <c r="I1" s="9" t="s">
        <v>7</v>
      </c>
      <c r="J1" s="9" t="s">
        <v>599</v>
      </c>
      <c r="K1" s="8" t="s">
        <v>240</v>
      </c>
      <c r="L1" s="8" t="s">
        <v>241</v>
      </c>
      <c r="M1" s="8" t="s">
        <v>579</v>
      </c>
      <c r="N1" s="8" t="s">
        <v>580</v>
      </c>
    </row>
    <row r="2" spans="1:14" x14ac:dyDescent="0.35">
      <c r="A2" s="13" t="s">
        <v>1168</v>
      </c>
      <c r="B2" s="13" t="s">
        <v>963</v>
      </c>
      <c r="C2" s="15" t="s">
        <v>1169</v>
      </c>
      <c r="D2" s="13">
        <v>346</v>
      </c>
      <c r="E2" s="13" t="s">
        <v>74</v>
      </c>
      <c r="F2" s="13">
        <v>284</v>
      </c>
      <c r="G2" s="13" t="s">
        <v>118</v>
      </c>
      <c r="H2" s="13" t="s">
        <v>602</v>
      </c>
      <c r="I2" s="18" t="s">
        <v>379</v>
      </c>
      <c r="J2" s="18" t="s">
        <v>712</v>
      </c>
      <c r="K2" s="18" t="s">
        <v>242</v>
      </c>
      <c r="L2" s="18" t="s">
        <v>253</v>
      </c>
      <c r="M2" s="18" t="s">
        <v>584</v>
      </c>
      <c r="N2" s="18" t="s">
        <v>585</v>
      </c>
    </row>
    <row r="3" spans="1:14" x14ac:dyDescent="0.35">
      <c r="A3" s="13" t="s">
        <v>481</v>
      </c>
      <c r="B3" s="13" t="s">
        <v>568</v>
      </c>
      <c r="C3" s="15" t="s">
        <v>1172</v>
      </c>
      <c r="D3" s="13">
        <v>522</v>
      </c>
      <c r="E3" s="13" t="s">
        <v>354</v>
      </c>
      <c r="F3" s="13">
        <v>200</v>
      </c>
      <c r="G3" s="13" t="s">
        <v>118</v>
      </c>
      <c r="H3" s="13" t="s">
        <v>602</v>
      </c>
      <c r="I3" s="18" t="s">
        <v>379</v>
      </c>
      <c r="J3" s="18" t="s">
        <v>712</v>
      </c>
      <c r="K3" s="18" t="s">
        <v>242</v>
      </c>
      <c r="L3" s="18" t="s">
        <v>242</v>
      </c>
      <c r="M3" s="18" t="s">
        <v>584</v>
      </c>
      <c r="N3" s="18" t="s">
        <v>586</v>
      </c>
    </row>
    <row r="4" spans="1:14" x14ac:dyDescent="0.35">
      <c r="A4" s="13" t="s">
        <v>153</v>
      </c>
      <c r="B4" s="13" t="s">
        <v>1156</v>
      </c>
      <c r="C4" s="15" t="s">
        <v>1177</v>
      </c>
      <c r="D4" s="13">
        <v>287</v>
      </c>
      <c r="E4" s="13" t="s">
        <v>66</v>
      </c>
      <c r="F4" s="13">
        <v>287</v>
      </c>
      <c r="G4" s="13" t="s">
        <v>11</v>
      </c>
      <c r="H4" s="13" t="s">
        <v>600</v>
      </c>
      <c r="I4" s="18" t="s">
        <v>247</v>
      </c>
      <c r="J4" s="18" t="s">
        <v>601</v>
      </c>
      <c r="K4" s="18" t="s">
        <v>242</v>
      </c>
      <c r="L4" s="18" t="s">
        <v>242</v>
      </c>
      <c r="M4" s="18" t="s">
        <v>582</v>
      </c>
      <c r="N4" s="18" t="s">
        <v>591</v>
      </c>
    </row>
    <row r="5" spans="1:14" x14ac:dyDescent="0.35">
      <c r="A5" s="13" t="s">
        <v>1174</v>
      </c>
      <c r="B5" s="13" t="s">
        <v>1175</v>
      </c>
      <c r="C5" s="15" t="s">
        <v>1176</v>
      </c>
      <c r="D5" s="13">
        <v>506</v>
      </c>
      <c r="E5" s="13" t="s">
        <v>123</v>
      </c>
      <c r="F5" s="13">
        <v>200</v>
      </c>
      <c r="G5" s="13" t="s">
        <v>118</v>
      </c>
      <c r="H5" s="13" t="s">
        <v>602</v>
      </c>
      <c r="I5" s="18" t="s">
        <v>971</v>
      </c>
      <c r="J5" s="18" t="s">
        <v>972</v>
      </c>
      <c r="K5" s="18" t="s">
        <v>253</v>
      </c>
      <c r="L5" s="18" t="s">
        <v>242</v>
      </c>
      <c r="M5" s="18" t="s">
        <v>581</v>
      </c>
      <c r="N5" s="18" t="s">
        <v>852</v>
      </c>
    </row>
    <row r="6" spans="1:14" x14ac:dyDescent="0.35">
      <c r="A6" s="13" t="s">
        <v>494</v>
      </c>
      <c r="B6" s="13" t="s">
        <v>568</v>
      </c>
      <c r="C6" s="15" t="s">
        <v>1190</v>
      </c>
      <c r="D6" s="13">
        <v>639</v>
      </c>
      <c r="E6" s="13" t="s">
        <v>497</v>
      </c>
      <c r="F6" s="13">
        <v>22</v>
      </c>
      <c r="G6" s="13" t="s">
        <v>118</v>
      </c>
      <c r="H6" s="13" t="s">
        <v>602</v>
      </c>
      <c r="I6" s="18" t="s">
        <v>379</v>
      </c>
      <c r="J6" s="18" t="s">
        <v>1281</v>
      </c>
      <c r="K6" s="18" t="s">
        <v>242</v>
      </c>
      <c r="L6" s="18" t="s">
        <v>242</v>
      </c>
      <c r="M6" s="18" t="s">
        <v>627</v>
      </c>
      <c r="N6" s="18" t="s">
        <v>586</v>
      </c>
    </row>
    <row r="7" spans="1:14" x14ac:dyDescent="0.35">
      <c r="A7" s="13" t="s">
        <v>343</v>
      </c>
      <c r="B7" s="13" t="s">
        <v>963</v>
      </c>
      <c r="C7" s="15" t="s">
        <v>1193</v>
      </c>
      <c r="D7" s="13">
        <v>654</v>
      </c>
      <c r="E7" s="13" t="s">
        <v>297</v>
      </c>
      <c r="F7" s="13">
        <v>223</v>
      </c>
      <c r="G7" s="13" t="s">
        <v>118</v>
      </c>
      <c r="H7" s="13" t="s">
        <v>602</v>
      </c>
      <c r="I7" s="18" t="s">
        <v>379</v>
      </c>
      <c r="J7" s="18" t="s">
        <v>712</v>
      </c>
      <c r="K7" s="18" t="s">
        <v>253</v>
      </c>
      <c r="L7" s="18" t="s">
        <v>253</v>
      </c>
      <c r="M7" s="18" t="s">
        <v>584</v>
      </c>
      <c r="N7" s="18" t="s">
        <v>585</v>
      </c>
    </row>
    <row r="8" spans="1:14" x14ac:dyDescent="0.35">
      <c r="A8" s="13" t="s">
        <v>1181</v>
      </c>
      <c r="B8" s="13" t="s">
        <v>568</v>
      </c>
      <c r="C8" s="15" t="s">
        <v>1182</v>
      </c>
      <c r="D8" s="13">
        <v>89</v>
      </c>
      <c r="E8" s="13" t="s">
        <v>691</v>
      </c>
      <c r="F8" s="13">
        <v>937</v>
      </c>
      <c r="G8" s="13" t="s">
        <v>118</v>
      </c>
      <c r="H8" s="13" t="s">
        <v>602</v>
      </c>
      <c r="I8" s="18" t="s">
        <v>379</v>
      </c>
      <c r="J8" s="18" t="s">
        <v>712</v>
      </c>
      <c r="K8" s="18" t="s">
        <v>242</v>
      </c>
      <c r="L8" s="18" t="s">
        <v>253</v>
      </c>
      <c r="M8" s="18" t="s">
        <v>581</v>
      </c>
      <c r="N8" s="18" t="s">
        <v>852</v>
      </c>
    </row>
    <row r="9" spans="1:14" x14ac:dyDescent="0.35">
      <c r="A9" s="13" t="s">
        <v>60</v>
      </c>
      <c r="B9" s="13" t="s">
        <v>568</v>
      </c>
      <c r="C9" s="15" t="s">
        <v>1188</v>
      </c>
      <c r="D9" s="13">
        <v>502</v>
      </c>
      <c r="E9" s="13" t="s">
        <v>62</v>
      </c>
      <c r="F9" s="13">
        <v>502</v>
      </c>
      <c r="G9" s="13" t="s">
        <v>881</v>
      </c>
      <c r="H9" s="13" t="s">
        <v>882</v>
      </c>
      <c r="I9" s="18" t="s">
        <v>312</v>
      </c>
      <c r="J9" s="18" t="s">
        <v>656</v>
      </c>
      <c r="K9" s="18" t="s">
        <v>242</v>
      </c>
      <c r="L9" s="18" t="s">
        <v>253</v>
      </c>
      <c r="M9" s="18" t="s">
        <v>592</v>
      </c>
      <c r="N9" s="18" t="s">
        <v>1189</v>
      </c>
    </row>
    <row r="10" spans="1:14" x14ac:dyDescent="0.35">
      <c r="A10" s="13" t="s">
        <v>1191</v>
      </c>
      <c r="B10" s="13" t="s">
        <v>568</v>
      </c>
      <c r="C10" s="15" t="s">
        <v>1192</v>
      </c>
      <c r="D10" s="13">
        <v>125</v>
      </c>
      <c r="E10" s="13" t="s">
        <v>501</v>
      </c>
      <c r="F10" s="13">
        <v>399</v>
      </c>
      <c r="G10" s="13" t="s">
        <v>25</v>
      </c>
      <c r="H10" s="13" t="s">
        <v>606</v>
      </c>
      <c r="I10" s="18" t="s">
        <v>26</v>
      </c>
      <c r="J10" s="18" t="s">
        <v>607</v>
      </c>
      <c r="K10" s="18" t="s">
        <v>253</v>
      </c>
      <c r="L10" s="18" t="s">
        <v>253</v>
      </c>
      <c r="M10" s="18" t="s">
        <v>592</v>
      </c>
      <c r="N10" s="18" t="s">
        <v>852</v>
      </c>
    </row>
    <row r="11" spans="1:14" x14ac:dyDescent="0.35">
      <c r="A11" s="13" t="s">
        <v>531</v>
      </c>
      <c r="B11" s="13" t="s">
        <v>568</v>
      </c>
      <c r="C11" s="15" t="s">
        <v>1179</v>
      </c>
      <c r="D11" s="13">
        <v>139</v>
      </c>
      <c r="E11" s="13" t="s">
        <v>20</v>
      </c>
      <c r="F11" s="13">
        <v>22</v>
      </c>
      <c r="G11" s="13" t="s">
        <v>118</v>
      </c>
      <c r="H11" s="13" t="s">
        <v>602</v>
      </c>
      <c r="I11" s="18" t="s">
        <v>379</v>
      </c>
      <c r="J11" s="18" t="s">
        <v>712</v>
      </c>
      <c r="K11" s="18" t="s">
        <v>242</v>
      </c>
      <c r="L11" s="18" t="s">
        <v>253</v>
      </c>
      <c r="M11" s="18" t="s">
        <v>588</v>
      </c>
      <c r="N11" s="18" t="s">
        <v>591</v>
      </c>
    </row>
    <row r="12" spans="1:14" x14ac:dyDescent="0.35">
      <c r="A12" s="13" t="s">
        <v>1170</v>
      </c>
      <c r="B12" s="13" t="s">
        <v>568</v>
      </c>
      <c r="C12" s="15" t="s">
        <v>1171</v>
      </c>
      <c r="D12" s="13">
        <v>125</v>
      </c>
      <c r="E12" s="13" t="s">
        <v>501</v>
      </c>
      <c r="F12" s="13">
        <v>770</v>
      </c>
      <c r="G12" s="13" t="s">
        <v>25</v>
      </c>
      <c r="H12" s="13" t="s">
        <v>606</v>
      </c>
      <c r="I12" s="18" t="s">
        <v>26</v>
      </c>
      <c r="J12" s="18" t="s">
        <v>607</v>
      </c>
      <c r="K12" s="18" t="s">
        <v>242</v>
      </c>
      <c r="L12" s="18" t="s">
        <v>242</v>
      </c>
      <c r="M12" s="18" t="s">
        <v>618</v>
      </c>
      <c r="N12" s="18" t="s">
        <v>857</v>
      </c>
    </row>
    <row r="13" spans="1:14" x14ac:dyDescent="0.35">
      <c r="A13" s="13" t="s">
        <v>1183</v>
      </c>
      <c r="B13" s="13" t="s">
        <v>568</v>
      </c>
      <c r="C13" s="15" t="s">
        <v>1184</v>
      </c>
      <c r="D13" s="13">
        <v>573</v>
      </c>
      <c r="E13" s="13" t="s">
        <v>1185</v>
      </c>
      <c r="F13" s="13">
        <v>352</v>
      </c>
      <c r="G13" s="13" t="s">
        <v>103</v>
      </c>
      <c r="H13" s="13" t="s">
        <v>612</v>
      </c>
      <c r="I13" s="18" t="s">
        <v>884</v>
      </c>
      <c r="J13" s="18" t="s">
        <v>885</v>
      </c>
      <c r="K13" s="18" t="s">
        <v>253</v>
      </c>
      <c r="L13" s="18" t="s">
        <v>253</v>
      </c>
      <c r="M13" s="18" t="s">
        <v>627</v>
      </c>
      <c r="N13" s="18" t="s">
        <v>586</v>
      </c>
    </row>
    <row r="14" spans="1:14" x14ac:dyDescent="0.35">
      <c r="A14" s="13" t="s">
        <v>1186</v>
      </c>
      <c r="B14" s="13" t="s">
        <v>568</v>
      </c>
      <c r="C14" s="15" t="s">
        <v>1187</v>
      </c>
      <c r="D14" s="13">
        <v>139</v>
      </c>
      <c r="E14" s="13" t="s">
        <v>20</v>
      </c>
      <c r="F14" s="13">
        <v>444</v>
      </c>
      <c r="G14" s="13" t="s">
        <v>103</v>
      </c>
      <c r="H14" s="13" t="s">
        <v>612</v>
      </c>
      <c r="I14" s="18" t="s">
        <v>884</v>
      </c>
      <c r="J14" s="18" t="s">
        <v>885</v>
      </c>
      <c r="K14" s="18" t="s">
        <v>242</v>
      </c>
      <c r="L14" s="18" t="s">
        <v>253</v>
      </c>
      <c r="M14" s="18" t="s">
        <v>592</v>
      </c>
      <c r="N14" s="18" t="s">
        <v>857</v>
      </c>
    </row>
    <row r="15" spans="1:14" x14ac:dyDescent="0.35">
      <c r="A15" s="13" t="s">
        <v>27</v>
      </c>
      <c r="B15" s="13" t="s">
        <v>963</v>
      </c>
      <c r="C15" s="15" t="s">
        <v>1180</v>
      </c>
      <c r="D15" s="13">
        <v>73</v>
      </c>
      <c r="E15" s="13" t="s">
        <v>29</v>
      </c>
      <c r="F15" s="13">
        <v>15</v>
      </c>
      <c r="G15" s="13" t="s">
        <v>118</v>
      </c>
      <c r="H15" s="13" t="s">
        <v>602</v>
      </c>
      <c r="I15" s="18" t="s">
        <v>379</v>
      </c>
      <c r="J15" s="18" t="s">
        <v>712</v>
      </c>
      <c r="K15" s="18" t="s">
        <v>242</v>
      </c>
      <c r="L15" s="18" t="s">
        <v>253</v>
      </c>
      <c r="M15" s="18" t="s">
        <v>584</v>
      </c>
      <c r="N15" s="18" t="s">
        <v>585</v>
      </c>
    </row>
    <row r="16" spans="1:14" x14ac:dyDescent="0.35">
      <c r="A16" s="13" t="s">
        <v>40</v>
      </c>
      <c r="B16" s="13" t="s">
        <v>568</v>
      </c>
      <c r="C16" s="15" t="s">
        <v>1178</v>
      </c>
      <c r="D16" s="13">
        <v>220</v>
      </c>
      <c r="E16" s="13" t="s">
        <v>42</v>
      </c>
      <c r="F16" s="13">
        <v>384</v>
      </c>
      <c r="G16" s="13" t="s">
        <v>103</v>
      </c>
      <c r="H16" s="13" t="s">
        <v>612</v>
      </c>
      <c r="I16" s="18" t="s">
        <v>884</v>
      </c>
      <c r="J16" s="18" t="s">
        <v>885</v>
      </c>
      <c r="K16" s="18" t="s">
        <v>242</v>
      </c>
      <c r="L16" s="18" t="s">
        <v>253</v>
      </c>
      <c r="M16" s="18" t="s">
        <v>588</v>
      </c>
      <c r="N16" s="18" t="s">
        <v>1047</v>
      </c>
    </row>
    <row r="17" spans="1:14" x14ac:dyDescent="0.35">
      <c r="A17" s="18" t="s">
        <v>99</v>
      </c>
      <c r="B17" s="18" t="s">
        <v>1047</v>
      </c>
      <c r="C17" s="19" t="s">
        <v>1173</v>
      </c>
      <c r="D17" s="18">
        <v>358</v>
      </c>
      <c r="E17" s="18" t="s">
        <v>102</v>
      </c>
      <c r="F17" s="18">
        <v>296</v>
      </c>
      <c r="G17" s="18" t="s">
        <v>103</v>
      </c>
      <c r="H17" s="18" t="s">
        <v>612</v>
      </c>
      <c r="I17" s="18" t="s">
        <v>884</v>
      </c>
      <c r="J17" s="18" t="s">
        <v>885</v>
      </c>
      <c r="K17" s="18" t="s">
        <v>242</v>
      </c>
      <c r="L17" s="18" t="s">
        <v>253</v>
      </c>
      <c r="M17" s="18" t="s">
        <v>582</v>
      </c>
      <c r="N17" s="18" t="s">
        <v>1047</v>
      </c>
    </row>
  </sheetData>
  <autoFilter ref="A1:N33" xr:uid="{9D06EEA2-7C77-4EB7-8403-A768338CE19E}">
    <sortState xmlns:xlrd2="http://schemas.microsoft.com/office/spreadsheetml/2017/richdata2" ref="A2:N33">
      <sortCondition ref="A1:A33"/>
    </sortState>
  </autoFilter>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355AC-8A75-4A07-BE4A-7DE2B42E8A9B}">
  <dimension ref="A1:N17"/>
  <sheetViews>
    <sheetView workbookViewId="0">
      <selection activeCell="C17" sqref="C17"/>
    </sheetView>
  </sheetViews>
  <sheetFormatPr defaultRowHeight="15.5" x14ac:dyDescent="0.35"/>
  <cols>
    <col min="1" max="1" width="38.7265625" style="16" bestFit="1" customWidth="1"/>
    <col min="2" max="2" width="16.7265625" style="16" bestFit="1" customWidth="1"/>
    <col min="3" max="3" width="157.7265625" style="17" bestFit="1" customWidth="1"/>
    <col min="4" max="4" width="12.54296875" style="16" bestFit="1" customWidth="1"/>
    <col min="5" max="5" width="48.26953125" style="16" bestFit="1" customWidth="1"/>
    <col min="6" max="6" width="10.26953125" style="16" bestFit="1" customWidth="1"/>
    <col min="7" max="7" width="18.08984375" style="16" bestFit="1" customWidth="1"/>
    <col min="8" max="8" width="26.90625" style="16" bestFit="1" customWidth="1"/>
    <col min="9" max="9" width="24.90625" style="16" bestFit="1" customWidth="1"/>
    <col min="10" max="10" width="34.90625" style="16" bestFit="1" customWidth="1"/>
    <col min="11" max="11" width="11.6328125" style="16" bestFit="1" customWidth="1"/>
    <col min="12" max="12" width="14.36328125" style="16" bestFit="1" customWidth="1"/>
    <col min="13" max="13" width="33.7265625" style="16" bestFit="1" customWidth="1"/>
    <col min="14" max="14" width="39.453125" style="16" bestFit="1" customWidth="1"/>
    <col min="15" max="16384" width="8.7265625" style="16"/>
  </cols>
  <sheetData>
    <row r="1" spans="1:14" x14ac:dyDescent="0.35">
      <c r="A1" s="6" t="s">
        <v>0</v>
      </c>
      <c r="B1" s="6" t="s">
        <v>567</v>
      </c>
      <c r="C1" s="14" t="s">
        <v>2</v>
      </c>
      <c r="D1" s="6" t="s">
        <v>3</v>
      </c>
      <c r="E1" s="6" t="s">
        <v>4</v>
      </c>
      <c r="F1" s="6" t="s">
        <v>5</v>
      </c>
      <c r="G1" s="6" t="s">
        <v>6</v>
      </c>
      <c r="H1" s="6" t="s">
        <v>598</v>
      </c>
      <c r="I1" s="9" t="s">
        <v>7</v>
      </c>
      <c r="J1" s="9" t="s">
        <v>599</v>
      </c>
      <c r="K1" s="8" t="s">
        <v>240</v>
      </c>
      <c r="L1" s="8" t="s">
        <v>241</v>
      </c>
      <c r="M1" s="8" t="s">
        <v>579</v>
      </c>
      <c r="N1" s="8" t="s">
        <v>580</v>
      </c>
    </row>
    <row r="2" spans="1:14" x14ac:dyDescent="0.35">
      <c r="A2" s="13" t="s">
        <v>1198</v>
      </c>
      <c r="B2" s="13" t="s">
        <v>568</v>
      </c>
      <c r="C2" s="15" t="s">
        <v>1199</v>
      </c>
      <c r="D2" s="13">
        <v>125</v>
      </c>
      <c r="E2" s="13" t="s">
        <v>501</v>
      </c>
      <c r="F2" s="13">
        <v>770</v>
      </c>
      <c r="G2" s="13" t="s">
        <v>25</v>
      </c>
      <c r="H2" s="13" t="s">
        <v>606</v>
      </c>
      <c r="I2" s="18" t="s">
        <v>26</v>
      </c>
      <c r="J2" s="18" t="s">
        <v>607</v>
      </c>
      <c r="K2" s="18" t="s">
        <v>242</v>
      </c>
      <c r="L2" s="18" t="s">
        <v>242</v>
      </c>
      <c r="M2" s="18" t="s">
        <v>618</v>
      </c>
      <c r="N2" s="18" t="s">
        <v>857</v>
      </c>
    </row>
    <row r="3" spans="1:14" x14ac:dyDescent="0.35">
      <c r="A3" s="13" t="s">
        <v>1206</v>
      </c>
      <c r="B3" s="13" t="s">
        <v>1156</v>
      </c>
      <c r="C3" s="15" t="s">
        <v>1207</v>
      </c>
      <c r="D3" s="13">
        <v>287</v>
      </c>
      <c r="E3" s="13" t="s">
        <v>66</v>
      </c>
      <c r="F3" s="13">
        <v>287</v>
      </c>
      <c r="G3" s="13" t="s">
        <v>11</v>
      </c>
      <c r="H3" s="13" t="s">
        <v>600</v>
      </c>
      <c r="I3" s="18" t="s">
        <v>247</v>
      </c>
      <c r="J3" s="18" t="s">
        <v>601</v>
      </c>
      <c r="K3" s="18" t="s">
        <v>242</v>
      </c>
      <c r="L3" s="18" t="s">
        <v>242</v>
      </c>
      <c r="M3" s="18" t="s">
        <v>582</v>
      </c>
      <c r="N3" s="18" t="s">
        <v>591</v>
      </c>
    </row>
    <row r="4" spans="1:14" x14ac:dyDescent="0.35">
      <c r="A4" s="13" t="s">
        <v>114</v>
      </c>
      <c r="B4" s="13" t="s">
        <v>602</v>
      </c>
      <c r="C4" s="15" t="s">
        <v>1223</v>
      </c>
      <c r="D4" s="13">
        <v>310</v>
      </c>
      <c r="E4" s="13" t="s">
        <v>970</v>
      </c>
      <c r="F4" s="13">
        <v>200</v>
      </c>
      <c r="G4" s="13" t="s">
        <v>118</v>
      </c>
      <c r="H4" s="13" t="s">
        <v>602</v>
      </c>
      <c r="I4" s="18" t="s">
        <v>379</v>
      </c>
      <c r="J4" s="18" t="s">
        <v>712</v>
      </c>
      <c r="K4" s="18" t="s">
        <v>253</v>
      </c>
      <c r="L4" s="18" t="s">
        <v>253</v>
      </c>
      <c r="M4" s="18" t="s">
        <v>705</v>
      </c>
      <c r="N4" s="18" t="s">
        <v>591</v>
      </c>
    </row>
    <row r="5" spans="1:14" x14ac:dyDescent="0.35">
      <c r="A5" s="13" t="s">
        <v>120</v>
      </c>
      <c r="B5" s="13" t="s">
        <v>568</v>
      </c>
      <c r="C5" s="15" t="s">
        <v>1212</v>
      </c>
      <c r="D5" s="13">
        <v>460</v>
      </c>
      <c r="E5" s="13" t="s">
        <v>1213</v>
      </c>
      <c r="F5" s="13">
        <v>113</v>
      </c>
      <c r="G5" s="13" t="s">
        <v>103</v>
      </c>
      <c r="H5" s="13" t="s">
        <v>612</v>
      </c>
      <c r="I5" s="18" t="s">
        <v>884</v>
      </c>
      <c r="J5" s="18" t="s">
        <v>885</v>
      </c>
      <c r="K5" s="18" t="s">
        <v>242</v>
      </c>
      <c r="L5" s="18" t="s">
        <v>253</v>
      </c>
      <c r="M5" s="18" t="s">
        <v>588</v>
      </c>
      <c r="N5" s="18" t="s">
        <v>591</v>
      </c>
    </row>
    <row r="6" spans="1:14" x14ac:dyDescent="0.35">
      <c r="A6" s="13" t="s">
        <v>185</v>
      </c>
      <c r="B6" s="13" t="s">
        <v>568</v>
      </c>
      <c r="C6" s="15" t="s">
        <v>1218</v>
      </c>
      <c r="D6" s="13">
        <v>62</v>
      </c>
      <c r="E6" s="13" t="s">
        <v>37</v>
      </c>
      <c r="F6" s="13">
        <v>352</v>
      </c>
      <c r="G6" s="13" t="s">
        <v>103</v>
      </c>
      <c r="H6" s="13" t="s">
        <v>612</v>
      </c>
      <c r="I6" s="18" t="s">
        <v>884</v>
      </c>
      <c r="J6" s="18" t="s">
        <v>1281</v>
      </c>
      <c r="K6" s="18" t="s">
        <v>253</v>
      </c>
      <c r="L6" s="18" t="s">
        <v>253</v>
      </c>
      <c r="M6" s="18" t="s">
        <v>627</v>
      </c>
      <c r="N6" s="18" t="s">
        <v>586</v>
      </c>
    </row>
    <row r="7" spans="1:14" x14ac:dyDescent="0.35">
      <c r="A7" s="13" t="s">
        <v>183</v>
      </c>
      <c r="B7" s="13" t="s">
        <v>568</v>
      </c>
      <c r="C7" s="15" t="s">
        <v>1216</v>
      </c>
      <c r="D7" s="13">
        <v>79</v>
      </c>
      <c r="E7" s="13" t="s">
        <v>71</v>
      </c>
      <c r="F7" s="13">
        <v>79</v>
      </c>
      <c r="G7" s="13" t="s">
        <v>11</v>
      </c>
      <c r="H7" s="13" t="s">
        <v>600</v>
      </c>
      <c r="I7" s="18" t="s">
        <v>17</v>
      </c>
      <c r="J7" s="18" t="s">
        <v>1217</v>
      </c>
      <c r="K7" s="18" t="s">
        <v>242</v>
      </c>
      <c r="L7" s="18" t="s">
        <v>253</v>
      </c>
      <c r="M7" s="18" t="s">
        <v>592</v>
      </c>
      <c r="N7" s="18" t="s">
        <v>586</v>
      </c>
    </row>
    <row r="8" spans="1:14" x14ac:dyDescent="0.35">
      <c r="A8" s="13" t="s">
        <v>1210</v>
      </c>
      <c r="B8" s="13" t="s">
        <v>568</v>
      </c>
      <c r="C8" s="15" t="s">
        <v>1211</v>
      </c>
      <c r="D8" s="13">
        <v>603</v>
      </c>
      <c r="E8" s="13" t="s">
        <v>954</v>
      </c>
      <c r="F8" s="13">
        <v>200</v>
      </c>
      <c r="G8" s="13" t="s">
        <v>118</v>
      </c>
      <c r="H8" s="13" t="s">
        <v>602</v>
      </c>
      <c r="I8" s="18" t="s">
        <v>379</v>
      </c>
      <c r="J8" s="18" t="s">
        <v>712</v>
      </c>
      <c r="K8" s="18" t="s">
        <v>253</v>
      </c>
      <c r="L8" s="18" t="s">
        <v>242</v>
      </c>
      <c r="M8" s="18" t="s">
        <v>588</v>
      </c>
      <c r="N8" s="18" t="s">
        <v>586</v>
      </c>
    </row>
    <row r="9" spans="1:14" x14ac:dyDescent="0.35">
      <c r="A9" s="13" t="s">
        <v>1214</v>
      </c>
      <c r="B9" s="13" t="s">
        <v>568</v>
      </c>
      <c r="C9" s="15" t="s">
        <v>1215</v>
      </c>
      <c r="D9" s="13">
        <v>89</v>
      </c>
      <c r="E9" s="13" t="s">
        <v>691</v>
      </c>
      <c r="F9" s="13">
        <v>937</v>
      </c>
      <c r="G9" s="13" t="s">
        <v>118</v>
      </c>
      <c r="H9" s="13" t="s">
        <v>602</v>
      </c>
      <c r="I9" s="18" t="s">
        <v>379</v>
      </c>
      <c r="J9" s="18" t="s">
        <v>712</v>
      </c>
      <c r="K9" s="18" t="s">
        <v>242</v>
      </c>
      <c r="L9" s="18" t="s">
        <v>253</v>
      </c>
      <c r="M9" s="18" t="s">
        <v>581</v>
      </c>
      <c r="N9" s="18" t="s">
        <v>852</v>
      </c>
    </row>
    <row r="10" spans="1:14" x14ac:dyDescent="0.35">
      <c r="A10" s="13" t="s">
        <v>1200</v>
      </c>
      <c r="B10" s="13" t="s">
        <v>568</v>
      </c>
      <c r="C10" s="15" t="s">
        <v>1201</v>
      </c>
      <c r="D10" s="13">
        <v>522</v>
      </c>
      <c r="E10" s="13" t="s">
        <v>354</v>
      </c>
      <c r="F10" s="13">
        <v>200</v>
      </c>
      <c r="G10" s="13" t="s">
        <v>118</v>
      </c>
      <c r="H10" s="13" t="s">
        <v>602</v>
      </c>
      <c r="I10" s="18" t="s">
        <v>379</v>
      </c>
      <c r="J10" s="18" t="s">
        <v>712</v>
      </c>
      <c r="K10" s="18" t="s">
        <v>242</v>
      </c>
      <c r="L10" s="18" t="s">
        <v>242</v>
      </c>
      <c r="M10" s="18" t="s">
        <v>584</v>
      </c>
      <c r="N10" s="18" t="s">
        <v>586</v>
      </c>
    </row>
    <row r="11" spans="1:14" x14ac:dyDescent="0.35">
      <c r="A11" s="13" t="s">
        <v>1221</v>
      </c>
      <c r="B11" s="13" t="s">
        <v>963</v>
      </c>
      <c r="C11" s="15" t="s">
        <v>1222</v>
      </c>
      <c r="D11" s="13">
        <v>346</v>
      </c>
      <c r="E11" s="13" t="s">
        <v>74</v>
      </c>
      <c r="F11" s="13">
        <v>346</v>
      </c>
      <c r="G11" s="13" t="s">
        <v>118</v>
      </c>
      <c r="H11" s="13" t="s">
        <v>602</v>
      </c>
      <c r="I11" s="18" t="s">
        <v>379</v>
      </c>
      <c r="J11" s="18" t="s">
        <v>712</v>
      </c>
      <c r="K11" s="18" t="s">
        <v>253</v>
      </c>
      <c r="L11" s="18" t="s">
        <v>253</v>
      </c>
      <c r="M11" s="18" t="s">
        <v>584</v>
      </c>
      <c r="N11" s="18" t="s">
        <v>585</v>
      </c>
    </row>
    <row r="12" spans="1:14" x14ac:dyDescent="0.35">
      <c r="A12" s="13" t="s">
        <v>486</v>
      </c>
      <c r="B12" s="13" t="s">
        <v>568</v>
      </c>
      <c r="C12" s="15" t="s">
        <v>1224</v>
      </c>
      <c r="D12" s="13">
        <v>89</v>
      </c>
      <c r="E12" s="13" t="s">
        <v>691</v>
      </c>
      <c r="F12" s="13">
        <v>77</v>
      </c>
      <c r="G12" s="13" t="s">
        <v>103</v>
      </c>
      <c r="H12" s="13" t="s">
        <v>612</v>
      </c>
      <c r="I12" s="18" t="s">
        <v>884</v>
      </c>
      <c r="J12" s="18" t="s">
        <v>885</v>
      </c>
      <c r="K12" s="18" t="s">
        <v>242</v>
      </c>
      <c r="L12" s="18" t="s">
        <v>242</v>
      </c>
      <c r="M12" s="18" t="s">
        <v>582</v>
      </c>
      <c r="N12" s="18" t="s">
        <v>586</v>
      </c>
    </row>
    <row r="13" spans="1:14" x14ac:dyDescent="0.35">
      <c r="A13" s="13" t="s">
        <v>1208</v>
      </c>
      <c r="B13" s="13" t="s">
        <v>963</v>
      </c>
      <c r="C13" s="15" t="s">
        <v>1209</v>
      </c>
      <c r="D13" s="13">
        <v>654</v>
      </c>
      <c r="E13" s="13" t="s">
        <v>297</v>
      </c>
      <c r="F13" s="13">
        <v>223</v>
      </c>
      <c r="G13" s="13" t="s">
        <v>118</v>
      </c>
      <c r="H13" s="13" t="s">
        <v>602</v>
      </c>
      <c r="I13" s="18" t="s">
        <v>379</v>
      </c>
      <c r="J13" s="18" t="s">
        <v>712</v>
      </c>
      <c r="K13" s="18" t="s">
        <v>253</v>
      </c>
      <c r="L13" s="18" t="s">
        <v>253</v>
      </c>
      <c r="M13" s="18" t="s">
        <v>584</v>
      </c>
      <c r="N13" s="18" t="s">
        <v>585</v>
      </c>
    </row>
    <row r="14" spans="1:14" x14ac:dyDescent="0.35">
      <c r="A14" s="13" t="s">
        <v>1204</v>
      </c>
      <c r="B14" s="13" t="s">
        <v>963</v>
      </c>
      <c r="C14" s="15" t="s">
        <v>1205</v>
      </c>
      <c r="D14" s="13">
        <v>73</v>
      </c>
      <c r="E14" s="13" t="s">
        <v>29</v>
      </c>
      <c r="F14" s="13">
        <v>15</v>
      </c>
      <c r="G14" s="13" t="s">
        <v>118</v>
      </c>
      <c r="H14" s="13" t="s">
        <v>602</v>
      </c>
      <c r="I14" s="18" t="s">
        <v>379</v>
      </c>
      <c r="J14" s="18" t="s">
        <v>712</v>
      </c>
      <c r="K14" s="18" t="s">
        <v>242</v>
      </c>
      <c r="L14" s="18" t="s">
        <v>253</v>
      </c>
      <c r="M14" s="18" t="s">
        <v>584</v>
      </c>
      <c r="N14" s="18" t="s">
        <v>585</v>
      </c>
    </row>
    <row r="15" spans="1:14" x14ac:dyDescent="0.35">
      <c r="A15" s="13" t="s">
        <v>1202</v>
      </c>
      <c r="B15" s="13" t="s">
        <v>1047</v>
      </c>
      <c r="C15" s="15" t="s">
        <v>1203</v>
      </c>
      <c r="D15" s="13">
        <v>358</v>
      </c>
      <c r="E15" s="13" t="s">
        <v>102</v>
      </c>
      <c r="F15" s="13">
        <v>296</v>
      </c>
      <c r="G15" s="13" t="s">
        <v>103</v>
      </c>
      <c r="H15" s="13" t="s">
        <v>612</v>
      </c>
      <c r="I15" s="18" t="s">
        <v>884</v>
      </c>
      <c r="J15" s="18" t="s">
        <v>885</v>
      </c>
      <c r="K15" s="18" t="s">
        <v>242</v>
      </c>
      <c r="L15" s="18" t="s">
        <v>253</v>
      </c>
      <c r="M15" s="18" t="s">
        <v>582</v>
      </c>
      <c r="N15" s="18" t="s">
        <v>1047</v>
      </c>
    </row>
    <row r="16" spans="1:14" x14ac:dyDescent="0.35">
      <c r="A16" s="13" t="s">
        <v>1219</v>
      </c>
      <c r="B16" s="13" t="s">
        <v>568</v>
      </c>
      <c r="C16" s="15" t="s">
        <v>1220</v>
      </c>
      <c r="D16" s="13">
        <v>212</v>
      </c>
      <c r="E16" s="13" t="s">
        <v>95</v>
      </c>
      <c r="F16" s="13">
        <v>200</v>
      </c>
      <c r="G16" s="13" t="s">
        <v>118</v>
      </c>
      <c r="H16" s="13" t="s">
        <v>602</v>
      </c>
      <c r="I16" s="18" t="s">
        <v>379</v>
      </c>
      <c r="J16" s="18" t="s">
        <v>712</v>
      </c>
      <c r="K16" s="18" t="s">
        <v>242</v>
      </c>
      <c r="L16" s="18" t="s">
        <v>242</v>
      </c>
      <c r="M16" s="18" t="s">
        <v>581</v>
      </c>
      <c r="N16" s="18" t="s">
        <v>1189</v>
      </c>
    </row>
    <row r="17" spans="1:14" x14ac:dyDescent="0.35">
      <c r="A17" s="18" t="s">
        <v>1196</v>
      </c>
      <c r="B17" s="18" t="s">
        <v>963</v>
      </c>
      <c r="C17" s="19" t="s">
        <v>1197</v>
      </c>
      <c r="D17" s="18">
        <v>346</v>
      </c>
      <c r="E17" s="18" t="s">
        <v>74</v>
      </c>
      <c r="F17" s="18">
        <v>284</v>
      </c>
      <c r="G17" s="18" t="s">
        <v>118</v>
      </c>
      <c r="H17" s="18" t="s">
        <v>602</v>
      </c>
      <c r="I17" s="18" t="s">
        <v>379</v>
      </c>
      <c r="J17" s="18" t="s">
        <v>712</v>
      </c>
      <c r="K17" s="18" t="s">
        <v>242</v>
      </c>
      <c r="L17" s="18" t="s">
        <v>253</v>
      </c>
      <c r="M17" s="18" t="s">
        <v>584</v>
      </c>
      <c r="N17" s="18" t="s">
        <v>585</v>
      </c>
    </row>
  </sheetData>
  <autoFilter ref="A1:N34" xr:uid="{BA5355AC-8A75-4A07-BE4A-7DE2B42E8A9B}">
    <sortState xmlns:xlrd2="http://schemas.microsoft.com/office/spreadsheetml/2017/richdata2" ref="A2:N34">
      <sortCondition ref="A1:A34"/>
    </sortState>
  </autoFilter>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75997-8319-416A-992D-FC7530FF42F4}">
  <dimension ref="A1:N17"/>
  <sheetViews>
    <sheetView workbookViewId="0">
      <selection activeCell="C18" sqref="C18"/>
    </sheetView>
  </sheetViews>
  <sheetFormatPr defaultRowHeight="15.5" x14ac:dyDescent="0.35"/>
  <cols>
    <col min="1" max="1" width="23.453125" style="16" bestFit="1" customWidth="1"/>
    <col min="2" max="2" width="26.26953125" style="16" bestFit="1" customWidth="1"/>
    <col min="3" max="3" width="153.81640625" style="17" bestFit="1" customWidth="1"/>
    <col min="4" max="4" width="10.26953125" style="16" bestFit="1" customWidth="1"/>
    <col min="5" max="5" width="42.7265625" style="16" bestFit="1" customWidth="1"/>
    <col min="6" max="6" width="8" style="16" bestFit="1" customWidth="1"/>
    <col min="7" max="7" width="15.81640625" style="16" bestFit="1" customWidth="1"/>
    <col min="8" max="8" width="20" style="16" bestFit="1" customWidth="1"/>
    <col min="9" max="9" width="9.36328125" style="16" bestFit="1" customWidth="1"/>
    <col min="10" max="10" width="12.08984375" style="16" bestFit="1" customWidth="1"/>
    <col min="11" max="16384" width="8.7265625" style="16"/>
  </cols>
  <sheetData>
    <row r="1" spans="1:14" x14ac:dyDescent="0.35">
      <c r="A1" s="5" t="s">
        <v>0</v>
      </c>
      <c r="B1" s="5" t="s">
        <v>1</v>
      </c>
      <c r="C1" s="23" t="s">
        <v>2</v>
      </c>
      <c r="D1" s="5" t="s">
        <v>3</v>
      </c>
      <c r="E1" s="5" t="s">
        <v>4</v>
      </c>
      <c r="F1" s="5" t="s">
        <v>5</v>
      </c>
      <c r="G1" s="5" t="s">
        <v>6</v>
      </c>
      <c r="H1" s="5" t="s">
        <v>7</v>
      </c>
      <c r="I1" s="8" t="s">
        <v>240</v>
      </c>
      <c r="J1" s="8" t="s">
        <v>241</v>
      </c>
      <c r="K1" s="8"/>
      <c r="L1" s="8"/>
      <c r="M1" s="8"/>
      <c r="N1" s="8"/>
    </row>
    <row r="2" spans="1:14" x14ac:dyDescent="0.35">
      <c r="A2" s="13" t="s">
        <v>477</v>
      </c>
      <c r="B2" s="13" t="s">
        <v>521</v>
      </c>
      <c r="C2" s="15" t="s">
        <v>522</v>
      </c>
      <c r="D2" s="13">
        <v>306</v>
      </c>
      <c r="E2" s="13" t="s">
        <v>480</v>
      </c>
      <c r="F2" s="13">
        <v>276</v>
      </c>
      <c r="G2" s="13" t="s">
        <v>38</v>
      </c>
      <c r="H2" s="13" t="s">
        <v>247</v>
      </c>
      <c r="I2" s="18" t="s">
        <v>242</v>
      </c>
      <c r="J2" s="18" t="s">
        <v>243</v>
      </c>
      <c r="K2" s="18"/>
      <c r="L2" s="18"/>
      <c r="M2" s="18"/>
      <c r="N2" s="18"/>
    </row>
    <row r="3" spans="1:14" x14ac:dyDescent="0.35">
      <c r="A3" s="13" t="s">
        <v>372</v>
      </c>
      <c r="B3" s="13" t="s">
        <v>523</v>
      </c>
      <c r="C3" s="15" t="s">
        <v>524</v>
      </c>
      <c r="D3" s="13">
        <v>148</v>
      </c>
      <c r="E3" s="13" t="s">
        <v>251</v>
      </c>
      <c r="F3" s="13">
        <v>354</v>
      </c>
      <c r="G3" s="13" t="s">
        <v>130</v>
      </c>
      <c r="H3" s="13" t="s">
        <v>252</v>
      </c>
      <c r="I3" s="18" t="s">
        <v>242</v>
      </c>
      <c r="J3" s="18" t="s">
        <v>243</v>
      </c>
      <c r="K3" s="18"/>
      <c r="L3" s="18"/>
      <c r="M3" s="18"/>
      <c r="N3" s="18"/>
    </row>
    <row r="4" spans="1:14" x14ac:dyDescent="0.35">
      <c r="A4" s="13" t="s">
        <v>22</v>
      </c>
      <c r="B4" s="13" t="s">
        <v>525</v>
      </c>
      <c r="C4" s="15" t="s">
        <v>526</v>
      </c>
      <c r="D4" s="13">
        <v>125</v>
      </c>
      <c r="E4" s="13" t="s">
        <v>501</v>
      </c>
      <c r="F4" s="13">
        <v>400</v>
      </c>
      <c r="G4" s="13" t="s">
        <v>25</v>
      </c>
      <c r="H4" s="13" t="s">
        <v>26</v>
      </c>
      <c r="I4" s="18" t="s">
        <v>253</v>
      </c>
      <c r="J4" s="18" t="s">
        <v>243</v>
      </c>
      <c r="K4" s="18"/>
      <c r="L4" s="18"/>
      <c r="M4" s="18"/>
      <c r="N4" s="18"/>
    </row>
    <row r="5" spans="1:14" x14ac:dyDescent="0.35">
      <c r="A5" s="13" t="s">
        <v>527</v>
      </c>
      <c r="B5" s="13" t="s">
        <v>528</v>
      </c>
      <c r="C5" s="15" t="s">
        <v>529</v>
      </c>
      <c r="D5" s="13">
        <v>287</v>
      </c>
      <c r="E5" s="13" t="s">
        <v>66</v>
      </c>
      <c r="F5" s="13" t="s">
        <v>108</v>
      </c>
      <c r="G5" s="13" t="s">
        <v>25</v>
      </c>
      <c r="H5" s="13" t="s">
        <v>530</v>
      </c>
      <c r="I5" s="18" t="s">
        <v>242</v>
      </c>
      <c r="J5" s="18" t="s">
        <v>254</v>
      </c>
      <c r="K5" s="18"/>
      <c r="L5" s="18"/>
      <c r="M5" s="18"/>
      <c r="N5" s="18"/>
    </row>
    <row r="6" spans="1:14" x14ac:dyDescent="0.35">
      <c r="A6" s="13" t="s">
        <v>531</v>
      </c>
      <c r="B6" s="13" t="s">
        <v>532</v>
      </c>
      <c r="C6" s="15" t="s">
        <v>533</v>
      </c>
      <c r="D6" s="13">
        <v>139</v>
      </c>
      <c r="E6" s="13" t="s">
        <v>20</v>
      </c>
      <c r="F6" s="13">
        <v>22</v>
      </c>
      <c r="G6" s="13" t="s">
        <v>25</v>
      </c>
      <c r="H6" s="13" t="s">
        <v>534</v>
      </c>
      <c r="I6" s="18" t="s">
        <v>253</v>
      </c>
      <c r="J6" s="18" t="s">
        <v>1281</v>
      </c>
      <c r="K6" s="18"/>
      <c r="L6" s="18"/>
      <c r="M6" s="18"/>
      <c r="N6" s="18"/>
    </row>
    <row r="7" spans="1:14" x14ac:dyDescent="0.35">
      <c r="A7" s="13" t="s">
        <v>535</v>
      </c>
      <c r="B7" s="13" t="s">
        <v>536</v>
      </c>
      <c r="C7" s="15" t="s">
        <v>537</v>
      </c>
      <c r="D7" s="13">
        <v>200</v>
      </c>
      <c r="E7" s="13" t="s">
        <v>49</v>
      </c>
      <c r="F7" s="13">
        <v>200</v>
      </c>
      <c r="G7" s="13" t="s">
        <v>25</v>
      </c>
      <c r="H7" s="13" t="s">
        <v>379</v>
      </c>
      <c r="I7" s="18" t="s">
        <v>242</v>
      </c>
      <c r="J7" s="18" t="s">
        <v>243</v>
      </c>
      <c r="K7" s="18"/>
      <c r="L7" s="18"/>
      <c r="M7" s="18"/>
      <c r="N7" s="18"/>
    </row>
    <row r="8" spans="1:14" x14ac:dyDescent="0.35">
      <c r="A8" s="13" t="s">
        <v>538</v>
      </c>
      <c r="B8" s="13" t="s">
        <v>539</v>
      </c>
      <c r="C8" s="15" t="s">
        <v>540</v>
      </c>
      <c r="D8" s="13">
        <v>240</v>
      </c>
      <c r="E8" s="13" t="s">
        <v>541</v>
      </c>
      <c r="F8" s="13" t="s">
        <v>108</v>
      </c>
      <c r="G8" s="13" t="s">
        <v>25</v>
      </c>
      <c r="H8" s="13" t="s">
        <v>542</v>
      </c>
      <c r="I8" s="18" t="s">
        <v>260</v>
      </c>
      <c r="J8" s="18" t="s">
        <v>261</v>
      </c>
      <c r="K8" s="18"/>
      <c r="L8" s="18"/>
      <c r="M8" s="18"/>
      <c r="N8" s="18"/>
    </row>
    <row r="9" spans="1:14" x14ac:dyDescent="0.35">
      <c r="A9" s="13" t="s">
        <v>543</v>
      </c>
      <c r="B9" s="13" t="s">
        <v>544</v>
      </c>
      <c r="C9" s="15" t="s">
        <v>545</v>
      </c>
      <c r="D9" s="13">
        <v>269</v>
      </c>
      <c r="E9" s="13" t="s">
        <v>257</v>
      </c>
      <c r="F9" s="13">
        <v>275</v>
      </c>
      <c r="G9" s="13" t="s">
        <v>311</v>
      </c>
      <c r="H9" s="13" t="s">
        <v>312</v>
      </c>
      <c r="I9" s="18" t="s">
        <v>253</v>
      </c>
      <c r="J9" s="18" t="s">
        <v>254</v>
      </c>
      <c r="K9" s="18"/>
      <c r="L9" s="18"/>
      <c r="M9" s="18"/>
      <c r="N9" s="18"/>
    </row>
    <row r="10" spans="1:14" x14ac:dyDescent="0.35">
      <c r="A10" s="13" t="s">
        <v>546</v>
      </c>
      <c r="B10" s="13" t="s">
        <v>547</v>
      </c>
      <c r="C10" s="15" t="s">
        <v>548</v>
      </c>
      <c r="D10" s="13">
        <v>287</v>
      </c>
      <c r="E10" s="13" t="s">
        <v>66</v>
      </c>
      <c r="F10" s="13">
        <v>223</v>
      </c>
      <c r="G10" s="13" t="s">
        <v>25</v>
      </c>
      <c r="H10" s="13" t="s">
        <v>201</v>
      </c>
      <c r="I10" s="18" t="s">
        <v>260</v>
      </c>
      <c r="J10" s="18" t="s">
        <v>261</v>
      </c>
      <c r="K10" s="18"/>
      <c r="L10" s="18"/>
      <c r="M10" s="18"/>
      <c r="N10" s="18"/>
    </row>
    <row r="11" spans="1:14" x14ac:dyDescent="0.35">
      <c r="A11" s="13" t="s">
        <v>549</v>
      </c>
      <c r="B11" s="13" t="s">
        <v>550</v>
      </c>
      <c r="C11" s="15" t="s">
        <v>551</v>
      </c>
      <c r="D11" s="13">
        <v>248</v>
      </c>
      <c r="E11" s="13" t="s">
        <v>265</v>
      </c>
      <c r="F11" s="13" t="s">
        <v>108</v>
      </c>
      <c r="G11" s="13" t="s">
        <v>25</v>
      </c>
      <c r="H11" s="13" t="s">
        <v>164</v>
      </c>
      <c r="I11" s="18" t="s">
        <v>253</v>
      </c>
      <c r="J11" s="18" t="s">
        <v>243</v>
      </c>
      <c r="K11" s="18"/>
      <c r="L11" s="18"/>
      <c r="M11" s="18"/>
      <c r="N11" s="18"/>
    </row>
    <row r="12" spans="1:14" x14ac:dyDescent="0.35">
      <c r="A12" s="13" t="s">
        <v>552</v>
      </c>
      <c r="B12" s="13" t="s">
        <v>553</v>
      </c>
      <c r="C12" s="15" t="s">
        <v>554</v>
      </c>
      <c r="D12" s="13">
        <v>209</v>
      </c>
      <c r="E12" s="13" t="s">
        <v>349</v>
      </c>
      <c r="F12" s="13">
        <v>540</v>
      </c>
      <c r="G12" s="13" t="s">
        <v>25</v>
      </c>
      <c r="H12" s="13" t="s">
        <v>379</v>
      </c>
      <c r="I12" s="18" t="s">
        <v>260</v>
      </c>
      <c r="J12" s="18" t="s">
        <v>254</v>
      </c>
      <c r="K12" s="18"/>
      <c r="L12" s="18"/>
      <c r="M12" s="18"/>
      <c r="N12" s="18"/>
    </row>
    <row r="13" spans="1:14" x14ac:dyDescent="0.35">
      <c r="A13" s="13" t="s">
        <v>555</v>
      </c>
      <c r="B13" s="13" t="s">
        <v>556</v>
      </c>
      <c r="C13" s="15" t="s">
        <v>557</v>
      </c>
      <c r="D13" s="13">
        <v>59</v>
      </c>
      <c r="E13" s="13" t="s">
        <v>558</v>
      </c>
      <c r="F13" s="13">
        <v>61</v>
      </c>
      <c r="G13" s="13" t="s">
        <v>25</v>
      </c>
      <c r="H13" s="13" t="s">
        <v>164</v>
      </c>
      <c r="I13" s="18" t="s">
        <v>253</v>
      </c>
      <c r="J13" s="18" t="s">
        <v>254</v>
      </c>
      <c r="K13" s="18"/>
      <c r="L13" s="18"/>
      <c r="M13" s="18"/>
      <c r="N13" s="18"/>
    </row>
    <row r="14" spans="1:14" x14ac:dyDescent="0.35">
      <c r="A14" s="13" t="s">
        <v>559</v>
      </c>
      <c r="B14" s="13" t="s">
        <v>560</v>
      </c>
      <c r="C14" s="15" t="s">
        <v>561</v>
      </c>
      <c r="D14" s="13">
        <v>362</v>
      </c>
      <c r="E14" s="13" t="s">
        <v>562</v>
      </c>
      <c r="F14" s="13">
        <v>362</v>
      </c>
      <c r="G14" s="13" t="s">
        <v>25</v>
      </c>
      <c r="H14" s="13" t="s">
        <v>164</v>
      </c>
      <c r="I14" s="18" t="s">
        <v>260</v>
      </c>
      <c r="J14" s="18" t="s">
        <v>261</v>
      </c>
      <c r="K14" s="18"/>
      <c r="L14" s="18"/>
      <c r="M14" s="18"/>
      <c r="N14" s="18"/>
    </row>
    <row r="15" spans="1:14" x14ac:dyDescent="0.35">
      <c r="A15" s="13" t="s">
        <v>563</v>
      </c>
      <c r="B15" s="13" t="s">
        <v>564</v>
      </c>
      <c r="C15" s="15" t="s">
        <v>565</v>
      </c>
      <c r="D15" s="13">
        <v>544</v>
      </c>
      <c r="E15" s="13" t="s">
        <v>566</v>
      </c>
      <c r="F15" s="13" t="s">
        <v>108</v>
      </c>
      <c r="G15" s="13" t="s">
        <v>25</v>
      </c>
      <c r="H15" s="13" t="s">
        <v>379</v>
      </c>
      <c r="I15" s="18" t="s">
        <v>253</v>
      </c>
      <c r="J15" s="18" t="s">
        <v>254</v>
      </c>
      <c r="K15" s="18"/>
      <c r="L15" s="18"/>
      <c r="M15" s="18"/>
      <c r="N15" s="18"/>
    </row>
    <row r="16" spans="1:14" x14ac:dyDescent="0.35">
      <c r="A16" s="13"/>
      <c r="B16" s="13"/>
      <c r="C16" s="15"/>
      <c r="D16" s="13"/>
      <c r="E16" s="13"/>
      <c r="F16" s="13"/>
      <c r="G16" s="13"/>
      <c r="H16" s="13"/>
      <c r="I16" s="18"/>
      <c r="J16" s="18"/>
      <c r="K16" s="18"/>
      <c r="L16" s="18"/>
      <c r="M16" s="18"/>
      <c r="N16" s="18"/>
    </row>
    <row r="17" spans="1:14" x14ac:dyDescent="0.35">
      <c r="A17" s="18"/>
      <c r="B17" s="18"/>
      <c r="C17" s="19"/>
      <c r="D17" s="18"/>
      <c r="E17" s="18"/>
      <c r="F17" s="18"/>
      <c r="G17" s="18"/>
      <c r="H17" s="18"/>
      <c r="I17" s="18"/>
      <c r="J17" s="18"/>
      <c r="K17" s="18"/>
      <c r="L17" s="18"/>
      <c r="M17" s="18"/>
      <c r="N17" s="18"/>
    </row>
  </sheetData>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6AE88-A28E-48B9-B8CE-081376CA2644}">
  <dimension ref="A1:N21"/>
  <sheetViews>
    <sheetView topLeftCell="B1" workbookViewId="0">
      <selection activeCell="C17" sqref="C17"/>
    </sheetView>
  </sheetViews>
  <sheetFormatPr defaultRowHeight="15.5" x14ac:dyDescent="0.35"/>
  <cols>
    <col min="1" max="1" width="33.90625" style="16" bestFit="1" customWidth="1"/>
    <col min="2" max="2" width="19.54296875" style="16" bestFit="1" customWidth="1"/>
    <col min="3" max="3" width="97.1796875" style="17" bestFit="1" customWidth="1"/>
    <col min="4" max="4" width="12.54296875" style="16" bestFit="1" customWidth="1"/>
    <col min="5" max="5" width="48.26953125" style="16" bestFit="1" customWidth="1"/>
    <col min="6" max="6" width="10.26953125" style="16" bestFit="1" customWidth="1"/>
    <col min="7" max="7" width="18.08984375" style="16" bestFit="1" customWidth="1"/>
    <col min="8" max="8" width="26.90625" style="16" bestFit="1" customWidth="1"/>
    <col min="9" max="9" width="24.90625" style="16" bestFit="1" customWidth="1"/>
    <col min="10" max="10" width="34.90625" style="16" bestFit="1" customWidth="1"/>
    <col min="11" max="11" width="11.6328125" style="16" bestFit="1" customWidth="1"/>
    <col min="12" max="12" width="14.36328125" style="16" bestFit="1" customWidth="1"/>
    <col min="13" max="13" width="36.453125" style="16" bestFit="1" customWidth="1"/>
    <col min="14" max="14" width="39.453125" style="16" bestFit="1" customWidth="1"/>
    <col min="15" max="16384" width="8.7265625" style="16"/>
  </cols>
  <sheetData>
    <row r="1" spans="1:14" x14ac:dyDescent="0.35">
      <c r="A1" s="5" t="s">
        <v>0</v>
      </c>
      <c r="B1" s="5" t="s">
        <v>567</v>
      </c>
      <c r="C1" s="23" t="s">
        <v>2</v>
      </c>
      <c r="D1" s="5" t="s">
        <v>3</v>
      </c>
      <c r="E1" s="5" t="s">
        <v>4</v>
      </c>
      <c r="F1" s="5" t="s">
        <v>5</v>
      </c>
      <c r="G1" s="5" t="s">
        <v>6</v>
      </c>
      <c r="H1" s="5" t="s">
        <v>598</v>
      </c>
      <c r="I1" s="8" t="s">
        <v>7</v>
      </c>
      <c r="J1" s="8" t="s">
        <v>599</v>
      </c>
      <c r="K1" s="8" t="s">
        <v>240</v>
      </c>
      <c r="L1" s="8" t="s">
        <v>241</v>
      </c>
      <c r="M1" s="8" t="s">
        <v>579</v>
      </c>
      <c r="N1" s="8" t="s">
        <v>580</v>
      </c>
    </row>
    <row r="2" spans="1:14" x14ac:dyDescent="0.35">
      <c r="A2" s="13" t="s">
        <v>1268</v>
      </c>
      <c r="B2" s="13" t="s">
        <v>1253</v>
      </c>
      <c r="C2" s="15" t="s">
        <v>1269</v>
      </c>
      <c r="D2" s="13">
        <v>653</v>
      </c>
      <c r="E2" s="13" t="s">
        <v>1270</v>
      </c>
      <c r="F2" s="13">
        <v>200</v>
      </c>
      <c r="G2" s="13" t="s">
        <v>103</v>
      </c>
      <c r="H2" s="13" t="s">
        <v>612</v>
      </c>
      <c r="I2" s="18" t="s">
        <v>884</v>
      </c>
      <c r="J2" s="18" t="s">
        <v>885</v>
      </c>
      <c r="K2" s="18" t="s">
        <v>242</v>
      </c>
      <c r="L2" s="18" t="s">
        <v>253</v>
      </c>
      <c r="M2" s="18" t="s">
        <v>584</v>
      </c>
      <c r="N2" s="18" t="s">
        <v>585</v>
      </c>
    </row>
    <row r="3" spans="1:14" x14ac:dyDescent="0.35">
      <c r="A3" s="13" t="s">
        <v>1271</v>
      </c>
      <c r="B3" s="13" t="s">
        <v>568</v>
      </c>
      <c r="C3" s="15" t="s">
        <v>1272</v>
      </c>
      <c r="D3" s="13">
        <v>49</v>
      </c>
      <c r="E3" s="13" t="s">
        <v>1158</v>
      </c>
      <c r="F3" s="13">
        <v>307</v>
      </c>
      <c r="G3" s="13" t="s">
        <v>11</v>
      </c>
      <c r="H3" s="13" t="s">
        <v>600</v>
      </c>
      <c r="I3" s="18" t="s">
        <v>247</v>
      </c>
      <c r="J3" s="18" t="s">
        <v>601</v>
      </c>
      <c r="K3" s="18" t="s">
        <v>242</v>
      </c>
      <c r="L3" s="18" t="s">
        <v>253</v>
      </c>
      <c r="M3" s="18" t="s">
        <v>618</v>
      </c>
      <c r="N3" s="18" t="s">
        <v>859</v>
      </c>
    </row>
    <row r="4" spans="1:14" x14ac:dyDescent="0.35">
      <c r="A4" s="13" t="s">
        <v>180</v>
      </c>
      <c r="B4" s="13" t="s">
        <v>568</v>
      </c>
      <c r="C4" s="15" t="s">
        <v>1273</v>
      </c>
      <c r="D4" s="13">
        <v>100</v>
      </c>
      <c r="E4" s="13" t="s">
        <v>182</v>
      </c>
      <c r="F4" s="13">
        <v>120</v>
      </c>
      <c r="G4" s="13" t="s">
        <v>1274</v>
      </c>
      <c r="H4" s="13" t="s">
        <v>612</v>
      </c>
      <c r="I4" s="18" t="s">
        <v>1275</v>
      </c>
      <c r="J4" s="18" t="s">
        <v>1276</v>
      </c>
      <c r="K4" s="18" t="s">
        <v>242</v>
      </c>
      <c r="L4" s="18" t="s">
        <v>253</v>
      </c>
      <c r="M4" s="18" t="s">
        <v>582</v>
      </c>
      <c r="N4" s="18" t="s">
        <v>585</v>
      </c>
    </row>
    <row r="5" spans="1:14" x14ac:dyDescent="0.35">
      <c r="A5" s="13" t="s">
        <v>1250</v>
      </c>
      <c r="B5" s="13" t="s">
        <v>568</v>
      </c>
      <c r="C5" s="15" t="s">
        <v>1251</v>
      </c>
      <c r="D5" s="13">
        <v>153</v>
      </c>
      <c r="E5" s="13" t="s">
        <v>865</v>
      </c>
      <c r="F5" s="13">
        <v>200</v>
      </c>
      <c r="G5" s="13" t="s">
        <v>760</v>
      </c>
      <c r="H5" s="13" t="s">
        <v>761</v>
      </c>
      <c r="I5" s="18" t="s">
        <v>1248</v>
      </c>
      <c r="J5" s="18" t="s">
        <v>1249</v>
      </c>
      <c r="K5" s="18" t="s">
        <v>242</v>
      </c>
      <c r="L5" s="18" t="s">
        <v>242</v>
      </c>
      <c r="M5" s="18" t="s">
        <v>705</v>
      </c>
      <c r="N5" s="18" t="s">
        <v>585</v>
      </c>
    </row>
    <row r="6" spans="1:14" x14ac:dyDescent="0.35">
      <c r="A6" s="13" t="s">
        <v>372</v>
      </c>
      <c r="B6" s="13" t="s">
        <v>568</v>
      </c>
      <c r="C6" s="15" t="s">
        <v>1246</v>
      </c>
      <c r="D6" s="13">
        <v>483</v>
      </c>
      <c r="E6" s="13" t="s">
        <v>1247</v>
      </c>
      <c r="F6" s="13">
        <v>353</v>
      </c>
      <c r="G6" s="13" t="s">
        <v>760</v>
      </c>
      <c r="H6" s="13" t="s">
        <v>761</v>
      </c>
      <c r="I6" s="18" t="s">
        <v>1248</v>
      </c>
      <c r="J6" s="18" t="s">
        <v>1281</v>
      </c>
      <c r="K6" s="18" t="s">
        <v>242</v>
      </c>
      <c r="L6" s="18" t="s">
        <v>253</v>
      </c>
      <c r="M6" s="18" t="s">
        <v>582</v>
      </c>
      <c r="N6" s="18" t="s">
        <v>591</v>
      </c>
    </row>
    <row r="7" spans="1:14" x14ac:dyDescent="0.35">
      <c r="A7" s="13" t="s">
        <v>1043</v>
      </c>
      <c r="B7" s="13" t="s">
        <v>963</v>
      </c>
      <c r="C7" s="15" t="s">
        <v>1228</v>
      </c>
      <c r="D7" s="13">
        <v>521</v>
      </c>
      <c r="E7" s="13" t="s">
        <v>1229</v>
      </c>
      <c r="F7" s="13">
        <v>798</v>
      </c>
      <c r="G7" s="13" t="s">
        <v>11</v>
      </c>
      <c r="H7" s="13" t="s">
        <v>600</v>
      </c>
      <c r="I7" s="18" t="s">
        <v>247</v>
      </c>
      <c r="J7" s="18" t="s">
        <v>601</v>
      </c>
      <c r="K7" s="18" t="s">
        <v>242</v>
      </c>
      <c r="L7" s="18" t="s">
        <v>242</v>
      </c>
      <c r="M7" s="18" t="s">
        <v>618</v>
      </c>
      <c r="N7" s="18" t="s">
        <v>591</v>
      </c>
    </row>
    <row r="8" spans="1:14" x14ac:dyDescent="0.35">
      <c r="A8" s="13" t="s">
        <v>236</v>
      </c>
      <c r="B8" s="13" t="s">
        <v>568</v>
      </c>
      <c r="C8" s="15" t="s">
        <v>1239</v>
      </c>
      <c r="D8" s="13">
        <v>486</v>
      </c>
      <c r="E8" s="13" t="s">
        <v>73</v>
      </c>
      <c r="F8" s="13">
        <v>400</v>
      </c>
      <c r="G8" s="13" t="s">
        <v>25</v>
      </c>
      <c r="H8" s="13" t="s">
        <v>606</v>
      </c>
      <c r="I8" s="18" t="s">
        <v>26</v>
      </c>
      <c r="J8" s="18" t="s">
        <v>607</v>
      </c>
      <c r="K8" s="18" t="s">
        <v>253</v>
      </c>
      <c r="L8" s="18" t="s">
        <v>253</v>
      </c>
      <c r="M8" s="18" t="s">
        <v>587</v>
      </c>
      <c r="N8" s="18" t="s">
        <v>857</v>
      </c>
    </row>
    <row r="9" spans="1:14" x14ac:dyDescent="0.35">
      <c r="A9" s="13" t="s">
        <v>18</v>
      </c>
      <c r="B9" s="13" t="s">
        <v>568</v>
      </c>
      <c r="C9" s="15" t="s">
        <v>1277</v>
      </c>
      <c r="D9" s="13">
        <v>139</v>
      </c>
      <c r="E9" s="13" t="s">
        <v>20</v>
      </c>
      <c r="F9" s="13">
        <v>22</v>
      </c>
      <c r="G9" s="13" t="s">
        <v>760</v>
      </c>
      <c r="H9" s="13" t="s">
        <v>761</v>
      </c>
      <c r="I9" s="18" t="s">
        <v>762</v>
      </c>
      <c r="J9" s="18" t="s">
        <v>763</v>
      </c>
      <c r="K9" s="18" t="s">
        <v>242</v>
      </c>
      <c r="L9" s="18" t="s">
        <v>253</v>
      </c>
      <c r="M9" s="18" t="s">
        <v>582</v>
      </c>
      <c r="N9" s="18" t="s">
        <v>586</v>
      </c>
    </row>
    <row r="10" spans="1:14" x14ac:dyDescent="0.35">
      <c r="A10" s="13" t="s">
        <v>1236</v>
      </c>
      <c r="B10" s="13" t="s">
        <v>963</v>
      </c>
      <c r="C10" s="15" t="s">
        <v>1237</v>
      </c>
      <c r="D10" s="13">
        <v>654</v>
      </c>
      <c r="E10" s="13" t="s">
        <v>297</v>
      </c>
      <c r="F10" s="13">
        <v>16</v>
      </c>
      <c r="G10" s="13" t="s">
        <v>118</v>
      </c>
      <c r="H10" s="13" t="s">
        <v>602</v>
      </c>
      <c r="I10" s="18" t="s">
        <v>379</v>
      </c>
      <c r="J10" s="18" t="s">
        <v>712</v>
      </c>
      <c r="K10" s="18" t="s">
        <v>242</v>
      </c>
      <c r="L10" s="18" t="s">
        <v>242</v>
      </c>
      <c r="M10" s="18" t="s">
        <v>584</v>
      </c>
      <c r="N10" s="18" t="s">
        <v>586</v>
      </c>
    </row>
    <row r="11" spans="1:14" x14ac:dyDescent="0.35">
      <c r="A11" s="13" t="s">
        <v>1230</v>
      </c>
      <c r="B11" s="13" t="s">
        <v>1231</v>
      </c>
      <c r="C11" s="15" t="s">
        <v>1232</v>
      </c>
      <c r="D11" s="13">
        <v>585</v>
      </c>
      <c r="E11" s="13" t="s">
        <v>1233</v>
      </c>
      <c r="F11" s="13">
        <v>434</v>
      </c>
      <c r="G11" s="13" t="s">
        <v>1234</v>
      </c>
      <c r="H11" s="13" t="s">
        <v>606</v>
      </c>
      <c r="I11" s="18" t="s">
        <v>26</v>
      </c>
      <c r="J11" s="18" t="s">
        <v>607</v>
      </c>
      <c r="K11" s="18" t="s">
        <v>242</v>
      </c>
      <c r="L11" s="18" t="s">
        <v>253</v>
      </c>
      <c r="M11" s="18" t="s">
        <v>581</v>
      </c>
      <c r="N11" s="18" t="s">
        <v>852</v>
      </c>
    </row>
    <row r="12" spans="1:14" x14ac:dyDescent="0.35">
      <c r="A12" s="13" t="s">
        <v>1252</v>
      </c>
      <c r="B12" s="13" t="s">
        <v>1253</v>
      </c>
      <c r="C12" s="15" t="s">
        <v>1254</v>
      </c>
      <c r="D12" s="13">
        <v>311</v>
      </c>
      <c r="E12" s="13" t="s">
        <v>980</v>
      </c>
      <c r="F12" s="13">
        <v>311</v>
      </c>
      <c r="G12" s="13" t="s">
        <v>1255</v>
      </c>
      <c r="H12" s="13" t="s">
        <v>761</v>
      </c>
      <c r="I12" s="18" t="s">
        <v>1256</v>
      </c>
      <c r="J12" s="18" t="s">
        <v>1257</v>
      </c>
      <c r="K12" s="18" t="s">
        <v>253</v>
      </c>
      <c r="L12" s="18" t="s">
        <v>253</v>
      </c>
      <c r="M12" s="18" t="s">
        <v>584</v>
      </c>
      <c r="N12" s="18" t="s">
        <v>852</v>
      </c>
    </row>
    <row r="13" spans="1:14" x14ac:dyDescent="0.35">
      <c r="A13" s="13" t="s">
        <v>1260</v>
      </c>
      <c r="B13" s="13" t="s">
        <v>963</v>
      </c>
      <c r="C13" s="15" t="s">
        <v>1261</v>
      </c>
      <c r="D13" s="13">
        <v>645</v>
      </c>
      <c r="E13" s="13" t="s">
        <v>874</v>
      </c>
      <c r="F13" s="13">
        <v>1109</v>
      </c>
      <c r="G13" s="13" t="s">
        <v>130</v>
      </c>
      <c r="H13" s="13" t="s">
        <v>606</v>
      </c>
      <c r="I13" s="18" t="s">
        <v>530</v>
      </c>
      <c r="J13" s="18" t="s">
        <v>1244</v>
      </c>
      <c r="K13" s="18" t="s">
        <v>253</v>
      </c>
      <c r="L13" s="18" t="s">
        <v>253</v>
      </c>
      <c r="M13" s="18" t="s">
        <v>584</v>
      </c>
      <c r="N13" s="18" t="s">
        <v>586</v>
      </c>
    </row>
    <row r="14" spans="1:14" x14ac:dyDescent="0.35">
      <c r="A14" s="13" t="s">
        <v>55</v>
      </c>
      <c r="B14" s="13" t="s">
        <v>1047</v>
      </c>
      <c r="C14" s="15" t="s">
        <v>1235</v>
      </c>
      <c r="D14" s="13">
        <v>94</v>
      </c>
      <c r="E14" s="13" t="s">
        <v>57</v>
      </c>
      <c r="F14" s="13">
        <v>300</v>
      </c>
      <c r="G14" s="13" t="s">
        <v>103</v>
      </c>
      <c r="H14" s="13" t="s">
        <v>612</v>
      </c>
      <c r="I14" s="18" t="s">
        <v>884</v>
      </c>
      <c r="J14" s="18" t="s">
        <v>885</v>
      </c>
      <c r="K14" s="18" t="s">
        <v>242</v>
      </c>
      <c r="L14" s="18" t="s">
        <v>253</v>
      </c>
      <c r="M14" s="18" t="s">
        <v>582</v>
      </c>
      <c r="N14" s="18" t="s">
        <v>1047</v>
      </c>
    </row>
    <row r="15" spans="1:14" x14ac:dyDescent="0.35">
      <c r="A15" s="13" t="s">
        <v>1258</v>
      </c>
      <c r="B15" s="13" t="s">
        <v>568</v>
      </c>
      <c r="C15" s="15" t="s">
        <v>1259</v>
      </c>
      <c r="D15" s="13">
        <v>151</v>
      </c>
      <c r="E15" s="13" t="s">
        <v>337</v>
      </c>
      <c r="F15" s="13">
        <v>556</v>
      </c>
      <c r="G15" s="13" t="s">
        <v>25</v>
      </c>
      <c r="H15" s="13" t="s">
        <v>606</v>
      </c>
      <c r="I15" s="18" t="s">
        <v>26</v>
      </c>
      <c r="J15" s="18" t="s">
        <v>607</v>
      </c>
      <c r="K15" s="18" t="s">
        <v>253</v>
      </c>
      <c r="L15" s="18" t="s">
        <v>242</v>
      </c>
      <c r="M15" s="18" t="s">
        <v>592</v>
      </c>
      <c r="N15" s="18" t="s">
        <v>654</v>
      </c>
    </row>
    <row r="16" spans="1:14" x14ac:dyDescent="0.35">
      <c r="A16" s="13" t="s">
        <v>885</v>
      </c>
      <c r="B16" s="13" t="s">
        <v>573</v>
      </c>
      <c r="C16" s="15" t="s">
        <v>1262</v>
      </c>
      <c r="D16" s="13">
        <v>560</v>
      </c>
      <c r="E16" s="13" t="s">
        <v>1263</v>
      </c>
      <c r="F16" s="13">
        <v>200</v>
      </c>
      <c r="G16" s="13" t="s">
        <v>103</v>
      </c>
      <c r="H16" s="13" t="s">
        <v>612</v>
      </c>
      <c r="I16" s="18" t="s">
        <v>884</v>
      </c>
      <c r="J16" s="18" t="s">
        <v>885</v>
      </c>
      <c r="K16" s="18" t="s">
        <v>253</v>
      </c>
      <c r="L16" s="18" t="s">
        <v>242</v>
      </c>
      <c r="M16" s="18" t="s">
        <v>705</v>
      </c>
      <c r="N16" s="18" t="s">
        <v>855</v>
      </c>
    </row>
    <row r="17" spans="1:14" x14ac:dyDescent="0.35">
      <c r="A17" s="18" t="s">
        <v>1278</v>
      </c>
      <c r="B17" s="18" t="s">
        <v>590</v>
      </c>
      <c r="C17" s="19" t="s">
        <v>1279</v>
      </c>
      <c r="D17" s="18">
        <v>98</v>
      </c>
      <c r="E17" s="18" t="s">
        <v>596</v>
      </c>
      <c r="F17" s="18">
        <v>601</v>
      </c>
      <c r="G17" s="18" t="s">
        <v>11</v>
      </c>
      <c r="H17" s="18" t="s">
        <v>600</v>
      </c>
      <c r="I17" s="18" t="s">
        <v>1280</v>
      </c>
      <c r="J17" s="18" t="s">
        <v>585</v>
      </c>
      <c r="K17" s="18" t="s">
        <v>242</v>
      </c>
      <c r="L17" s="18" t="s">
        <v>242</v>
      </c>
      <c r="M17" s="18" t="s">
        <v>1189</v>
      </c>
      <c r="N17" s="18" t="s">
        <v>585</v>
      </c>
    </row>
    <row r="18" spans="1:14" x14ac:dyDescent="0.35">
      <c r="A18" s="16" t="s">
        <v>1240</v>
      </c>
      <c r="B18" s="16" t="s">
        <v>1241</v>
      </c>
      <c r="C18" s="17" t="s">
        <v>1242</v>
      </c>
      <c r="D18" s="16">
        <v>161</v>
      </c>
      <c r="E18" s="16" t="s">
        <v>1243</v>
      </c>
      <c r="F18" s="16">
        <v>200</v>
      </c>
      <c r="G18" s="16" t="s">
        <v>130</v>
      </c>
      <c r="H18" s="16" t="s">
        <v>606</v>
      </c>
      <c r="I18" s="16" t="s">
        <v>530</v>
      </c>
      <c r="J18" s="16" t="s">
        <v>1244</v>
      </c>
      <c r="K18" s="16" t="s">
        <v>242</v>
      </c>
      <c r="L18" s="16" t="s">
        <v>260</v>
      </c>
      <c r="M18" s="16" t="s">
        <v>1245</v>
      </c>
      <c r="N18" s="16" t="s">
        <v>1245</v>
      </c>
    </row>
    <row r="19" spans="1:14" x14ac:dyDescent="0.35">
      <c r="A19" s="16" t="s">
        <v>527</v>
      </c>
      <c r="B19" s="16" t="s">
        <v>568</v>
      </c>
      <c r="C19" s="17" t="s">
        <v>1238</v>
      </c>
      <c r="D19" s="16">
        <v>573</v>
      </c>
      <c r="E19" s="16" t="s">
        <v>1185</v>
      </c>
      <c r="F19" s="16">
        <v>609</v>
      </c>
      <c r="G19" s="16" t="s">
        <v>25</v>
      </c>
      <c r="H19" s="16" t="s">
        <v>606</v>
      </c>
      <c r="I19" s="16" t="s">
        <v>26</v>
      </c>
      <c r="J19" s="16" t="s">
        <v>607</v>
      </c>
      <c r="K19" s="16" t="s">
        <v>242</v>
      </c>
      <c r="L19" s="16" t="s">
        <v>242</v>
      </c>
      <c r="M19" s="16" t="s">
        <v>592</v>
      </c>
      <c r="N19" s="16" t="s">
        <v>1189</v>
      </c>
    </row>
    <row r="20" spans="1:14" x14ac:dyDescent="0.35">
      <c r="A20" s="16" t="s">
        <v>40</v>
      </c>
      <c r="B20" s="16" t="s">
        <v>1264</v>
      </c>
      <c r="C20" s="17" t="s">
        <v>1265</v>
      </c>
      <c r="D20" s="16">
        <v>220</v>
      </c>
      <c r="E20" s="16" t="s">
        <v>42</v>
      </c>
      <c r="F20" s="16">
        <v>384</v>
      </c>
      <c r="G20" s="16" t="s">
        <v>881</v>
      </c>
      <c r="H20" s="16" t="s">
        <v>882</v>
      </c>
      <c r="I20" s="16" t="s">
        <v>1266</v>
      </c>
      <c r="J20" s="16" t="s">
        <v>1267</v>
      </c>
      <c r="K20" s="16" t="s">
        <v>242</v>
      </c>
      <c r="L20" s="16" t="s">
        <v>253</v>
      </c>
      <c r="M20" s="16" t="s">
        <v>582</v>
      </c>
      <c r="N20" s="16" t="s">
        <v>1047</v>
      </c>
    </row>
    <row r="21" spans="1:14" x14ac:dyDescent="0.35">
      <c r="A21" s="16" t="s">
        <v>1225</v>
      </c>
      <c r="B21" s="16" t="s">
        <v>963</v>
      </c>
      <c r="C21" s="17" t="s">
        <v>1226</v>
      </c>
      <c r="D21" s="16">
        <v>636</v>
      </c>
      <c r="E21" s="16" t="s">
        <v>1227</v>
      </c>
      <c r="F21" s="16">
        <v>276</v>
      </c>
      <c r="G21" s="16" t="s">
        <v>11</v>
      </c>
      <c r="H21" s="16" t="s">
        <v>600</v>
      </c>
      <c r="I21" s="16" t="s">
        <v>247</v>
      </c>
      <c r="J21" s="16" t="s">
        <v>601</v>
      </c>
      <c r="K21" s="16" t="s">
        <v>242</v>
      </c>
      <c r="L21" s="16" t="s">
        <v>242</v>
      </c>
      <c r="M21" s="16" t="s">
        <v>584</v>
      </c>
      <c r="N21" s="16" t="s">
        <v>585</v>
      </c>
    </row>
  </sheetData>
  <autoFilter ref="A1:N41" xr:uid="{D366AE88-A28E-48B9-B8CE-081376CA2644}">
    <sortState xmlns:xlrd2="http://schemas.microsoft.com/office/spreadsheetml/2017/richdata2" ref="A2:N41">
      <sortCondition ref="A1:A41"/>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30</vt:i4>
      </vt:variant>
    </vt:vector>
  </HeadingPairs>
  <TitlesOfParts>
    <vt:vector size="30" baseType="lpstr">
      <vt:lpstr>Index</vt:lpstr>
      <vt:lpstr>WebServer -Generic</vt:lpstr>
      <vt:lpstr>IBM-Http Server</vt:lpstr>
      <vt:lpstr>Apache Http Server</vt:lpstr>
      <vt:lpstr>Load-Balancer-Generic</vt:lpstr>
      <vt:lpstr>F5</vt:lpstr>
      <vt:lpstr>Application Server - Generic</vt:lpstr>
      <vt:lpstr>Jboss</vt:lpstr>
      <vt:lpstr>Tomcat</vt:lpstr>
      <vt:lpstr>WebSphere</vt:lpstr>
      <vt:lpstr>Database - Generic</vt:lpstr>
      <vt:lpstr>Postgres</vt:lpstr>
      <vt:lpstr>DB2</vt:lpstr>
      <vt:lpstr>Oracle</vt:lpstr>
      <vt:lpstr>Cassandra</vt:lpstr>
      <vt:lpstr>Redis</vt:lpstr>
      <vt:lpstr>Hazelcast</vt:lpstr>
      <vt:lpstr>Mango DB</vt:lpstr>
      <vt:lpstr>Messaging Queue - Generic</vt:lpstr>
      <vt:lpstr>IBM MQ</vt:lpstr>
      <vt:lpstr>Solace</vt:lpstr>
      <vt:lpstr>Kafka</vt:lpstr>
      <vt:lpstr>ElasticSearch</vt:lpstr>
      <vt:lpstr>Kibana</vt:lpstr>
      <vt:lpstr>Logstash</vt:lpstr>
      <vt:lpstr>API Gateway Server Threats</vt:lpstr>
      <vt:lpstr>NGINX-Server</vt:lpstr>
      <vt:lpstr>Kong API Server</vt:lpstr>
      <vt:lpstr>FileSystem - Generic</vt:lpstr>
      <vt:lpstr>NAS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MUNIRATHNAKUMAR SIVARAMAKRISHNAN</dc:creator>
  <cp:lastModifiedBy>MUNIRATHNAKUMAR SIVARAMAKRISHNAN</cp:lastModifiedBy>
  <dcterms:created xsi:type="dcterms:W3CDTF">2023-08-20T18:25:35Z</dcterms:created>
  <dcterms:modified xsi:type="dcterms:W3CDTF">2023-08-21T14:45:06Z</dcterms:modified>
</cp:coreProperties>
</file>